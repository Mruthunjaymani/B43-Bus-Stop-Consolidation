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uthunjay Mani\URBAN TRANSPORTATION AND LOGISTICS SYSTEMS\PROJECT\CSV\FINAL OPTIMIZATION PROJECT\NORTH\"/>
    </mc:Choice>
  </mc:AlternateContent>
  <xr:revisionPtr revIDLastSave="0" documentId="13_ncr:1_{E7288FA7-99A9-4F77-87C6-098ECFA9A8F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_Statistics" sheetId="1" r:id="rId1"/>
    <sheet name="All_Stops" sheetId="2" r:id="rId2"/>
    <sheet name="Open_Stops" sheetId="3" r:id="rId3"/>
    <sheet name="Closed_Stops" sheetId="4" r:id="rId4"/>
    <sheet name="Stops_Gained_Ridership" sheetId="5" r:id="rId5"/>
    <sheet name="Walk_Cost_Detai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7" i="2" l="1"/>
  <c r="P56" i="2"/>
  <c r="J38" i="3"/>
</calcChain>
</file>

<file path=xl/sharedStrings.xml><?xml version="1.0" encoding="utf-8"?>
<sst xmlns="http://schemas.openxmlformats.org/spreadsheetml/2006/main" count="354" uniqueCount="88">
  <si>
    <t>metric</t>
  </si>
  <si>
    <t>baseline</t>
  </si>
  <si>
    <t>optimized</t>
  </si>
  <si>
    <t>change</t>
  </si>
  <si>
    <t>percent_change</t>
  </si>
  <si>
    <t>Stops</t>
  </si>
  <si>
    <t>Total Ridership</t>
  </si>
  <si>
    <t>Dwell Time (seconds)</t>
  </si>
  <si>
    <t>Acc/Decel Time (seconds)</t>
  </si>
  <si>
    <t>Total Travel Time (seconds)</t>
  </si>
  <si>
    <t>In-Vehicle Cost ($)</t>
  </si>
  <si>
    <t>Walk Cost ($)</t>
  </si>
  <si>
    <t>inf</t>
  </si>
  <si>
    <t>Total Daily Cost ($)</t>
  </si>
  <si>
    <t>Annual Cost ($)</t>
  </si>
  <si>
    <t>stop_index</t>
  </si>
  <si>
    <t>stop_id</t>
  </si>
  <si>
    <t>stop_sequence</t>
  </si>
  <si>
    <t>stop_name</t>
  </si>
  <si>
    <t>status</t>
  </si>
  <si>
    <t>baseline_ridership</t>
  </si>
  <si>
    <t>optimized_ridership</t>
  </si>
  <si>
    <t>ridership_change</t>
  </si>
  <si>
    <t>baseline_dwell_time</t>
  </si>
  <si>
    <t>optimized_dwell_time</t>
  </si>
  <si>
    <t>dwell_time_change</t>
  </si>
  <si>
    <t>baseline_accel_decel</t>
  </si>
  <si>
    <t>optimized_accel_decel</t>
  </si>
  <si>
    <t>walk_cost_daily</t>
  </si>
  <si>
    <t>walk_distance_to_nearest</t>
  </si>
  <si>
    <t>distance_to_next</t>
  </si>
  <si>
    <t>distance_from_prev</t>
  </si>
  <si>
    <t>LINCOLN RD/OCEAN AV</t>
  </si>
  <si>
    <t>Open</t>
  </si>
  <si>
    <t>EMPIRE BLVD/WASHINGTON AV</t>
  </si>
  <si>
    <t>EMPIRE BLVD/BEDFORD AV</t>
  </si>
  <si>
    <t>Closed</t>
  </si>
  <si>
    <t>EMPIRE BLVD/ROGERS AV</t>
  </si>
  <si>
    <t>EMPIRE BLVD/NOSTRAND AV</t>
  </si>
  <si>
    <t>EMPIRE BLVD/NEW YORK AV</t>
  </si>
  <si>
    <t>EMPIRE BLVD/BROOKLYN AV</t>
  </si>
  <si>
    <t>EMPIRE BLVD/LAMONT CT</t>
  </si>
  <si>
    <t>KINGSTON AV/MONTGOMERY ST</t>
  </si>
  <si>
    <t>KINGSTON AV/CARROLL ST</t>
  </si>
  <si>
    <t>KINGSTON AV/UNION ST</t>
  </si>
  <si>
    <t>KINGSTON AV/SAINT JOHNS PL</t>
  </si>
  <si>
    <t>KINGSTON AV/PROSPECT PL</t>
  </si>
  <si>
    <t>KINGSTON AV/BERGEN ST</t>
  </si>
  <si>
    <t>KINGSTON AV/PACIFIC ST</t>
  </si>
  <si>
    <t>KINGSTON AV/ATLANTIC AV</t>
  </si>
  <si>
    <t>KINGSTON AV/FULTON ST</t>
  </si>
  <si>
    <t>THROOP AV/FULTON ST</t>
  </si>
  <si>
    <t>THROOP AV/MACDONOUGH ST</t>
  </si>
  <si>
    <t>THROOP AV/HALSEY ST</t>
  </si>
  <si>
    <t>THROOP AV/JEFFERSON AV</t>
  </si>
  <si>
    <t>THROOP AV/MADISON ST</t>
  </si>
  <si>
    <t>THROOP AV/GATES AV</t>
  </si>
  <si>
    <t>THROOP AV/GREENE AV</t>
  </si>
  <si>
    <t>THROOP AV/LAFAYETTE AV</t>
  </si>
  <si>
    <t>THROOP AV/DE KALB AV</t>
  </si>
  <si>
    <t>THROOP AV/HART ST</t>
  </si>
  <si>
    <t>THROOP AV/MYRTLE AV</t>
  </si>
  <si>
    <t>THROOP AV/PARK AV</t>
  </si>
  <si>
    <t>FLUSHING AV/THROOP AV</t>
  </si>
  <si>
    <t>FLUSHING AV/BROADWAY</t>
  </si>
  <si>
    <t>GRAHAM AV/COOK ST</t>
  </si>
  <si>
    <t>GRAHAM AV/SEIGEL ST</t>
  </si>
  <si>
    <t>GRAHAM AV/JOHNSON AV</t>
  </si>
  <si>
    <t>GRAHAM AV/SCHOLES ST</t>
  </si>
  <si>
    <t>GRAHAM AV/GRAND ST</t>
  </si>
  <si>
    <t>GRAHAM AV/AINSLIE ST</t>
  </si>
  <si>
    <t>GRAHAM AV/METROPOLITAN AV</t>
  </si>
  <si>
    <t>GRAHAM AV/JACKSON ST</t>
  </si>
  <si>
    <t>GRAHAM AV/MEEKER AV</t>
  </si>
  <si>
    <t>GRAHAM AV/BAYARD ST</t>
  </si>
  <si>
    <t>GRAHAM AV/ENGERT AV</t>
  </si>
  <si>
    <t>GRAHAM AV/DRIGGS AV</t>
  </si>
  <si>
    <t>DRIGGS AV/LEONARD ST</t>
  </si>
  <si>
    <t>MANHATTAN AV/NASSAU AV</t>
  </si>
  <si>
    <t>MANHATTAN AV/NORMAN AV</t>
  </si>
  <si>
    <t>MANHATTAN AV/MESEROLE AV</t>
  </si>
  <si>
    <t>MANHATTAN AV/CALYER ST</t>
  </si>
  <si>
    <t>MANHATTAN AV/GREENPOINT AV</t>
  </si>
  <si>
    <t>MANHATTAN AV/INDIA ST</t>
  </si>
  <si>
    <t>MANHATTAN AV/EAGLE ST</t>
  </si>
  <si>
    <t>MANHATTAN AV/CLAY ST</t>
  </si>
  <si>
    <t>BOX ST/MANHATTAN AV</t>
  </si>
  <si>
    <t>walk_cost_annual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</si>
</sst>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4.4" x14ac:dyDescent="0.3"/>
  <cols>
    <col min="1" max="1" width="23.5546875" bestFit="1" customWidth="1"/>
    <col min="2" max="3" width="12" bestFit="1" customWidth="1"/>
    <col min="4" max="4" width="12.6640625" bestFit="1" customWidth="1"/>
    <col min="5" max="5" width="14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53</v>
      </c>
      <c r="C2">
        <v>35</v>
      </c>
      <c r="D2">
        <v>-18</v>
      </c>
      <c r="E2">
        <v>-33.962264150943398</v>
      </c>
    </row>
    <row r="3" spans="1:5" x14ac:dyDescent="0.3">
      <c r="A3" t="s">
        <v>6</v>
      </c>
      <c r="B3">
        <v>3200.3483607060002</v>
      </c>
      <c r="C3">
        <v>3200.3483607060002</v>
      </c>
      <c r="D3">
        <v>0</v>
      </c>
      <c r="E3">
        <v>0</v>
      </c>
    </row>
    <row r="4" spans="1:5" x14ac:dyDescent="0.3">
      <c r="A4" t="s">
        <v>7</v>
      </c>
      <c r="B4">
        <v>356.69691025994541</v>
      </c>
      <c r="C4">
        <v>266.69691025994541</v>
      </c>
      <c r="D4">
        <v>-90</v>
      </c>
      <c r="E4">
        <v>-25.23150535125518</v>
      </c>
    </row>
    <row r="5" spans="1:5" x14ac:dyDescent="0.3">
      <c r="A5" t="s">
        <v>8</v>
      </c>
      <c r="B5">
        <v>584.50499383486874</v>
      </c>
      <c r="C5">
        <v>533.05255160117986</v>
      </c>
      <c r="D5">
        <v>-51.452442233688878</v>
      </c>
      <c r="E5">
        <v>-8.8027378339602258</v>
      </c>
    </row>
    <row r="6" spans="1:5" x14ac:dyDescent="0.3">
      <c r="A6" t="s">
        <v>9</v>
      </c>
      <c r="B6">
        <v>3963.4550677462071</v>
      </c>
      <c r="C6">
        <v>3822.0026255125181</v>
      </c>
      <c r="D6">
        <v>-141.452442233689</v>
      </c>
      <c r="E6">
        <v>-3.56891751807155</v>
      </c>
    </row>
    <row r="7" spans="1:5" x14ac:dyDescent="0.3">
      <c r="A7" t="s">
        <v>10</v>
      </c>
      <c r="B7">
        <v>59898.729941524689</v>
      </c>
      <c r="C7">
        <v>57760.993675539226</v>
      </c>
      <c r="D7">
        <v>-2137.7362659854548</v>
      </c>
      <c r="E7">
        <v>-3.56891751807157</v>
      </c>
    </row>
    <row r="8" spans="1:5" x14ac:dyDescent="0.3">
      <c r="A8" t="s">
        <v>11</v>
      </c>
      <c r="B8">
        <v>0</v>
      </c>
      <c r="C8">
        <v>302.95796023605698</v>
      </c>
      <c r="D8">
        <v>302.95796023605698</v>
      </c>
      <c r="E8" t="s">
        <v>12</v>
      </c>
    </row>
    <row r="9" spans="1:5" x14ac:dyDescent="0.3">
      <c r="A9" t="s">
        <v>13</v>
      </c>
      <c r="B9">
        <v>59898.729941524689</v>
      </c>
      <c r="C9">
        <v>58063.951635775287</v>
      </c>
      <c r="D9">
        <v>-1834.7783057494021</v>
      </c>
      <c r="E9">
        <v>-3.063133905410981</v>
      </c>
    </row>
    <row r="10" spans="1:5" x14ac:dyDescent="0.3">
      <c r="A10" t="s">
        <v>14</v>
      </c>
      <c r="B10">
        <v>21863036.428656511</v>
      </c>
      <c r="C10">
        <v>21193342.34705798</v>
      </c>
      <c r="D10">
        <v>-669694.08159853157</v>
      </c>
      <c r="E10">
        <v>-3.063133905410981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"/>
  <sheetViews>
    <sheetView tabSelected="1" topLeftCell="C49" workbookViewId="0">
      <selection activeCell="P58" sqref="P58"/>
    </sheetView>
  </sheetViews>
  <sheetFormatPr defaultRowHeight="14.4" x14ac:dyDescent="0.3"/>
  <cols>
    <col min="1" max="1" width="10.21875" bestFit="1" customWidth="1"/>
    <col min="2" max="2" width="7.21875" bestFit="1" customWidth="1"/>
    <col min="3" max="3" width="13.77734375" bestFit="1" customWidth="1"/>
    <col min="4" max="4" width="29.33203125" bestFit="1" customWidth="1"/>
    <col min="5" max="5" width="6.44140625" bestFit="1" customWidth="1"/>
    <col min="6" max="6" width="16.33203125" bestFit="1" customWidth="1"/>
    <col min="13" max="13" width="20.21875" bestFit="1" customWidth="1"/>
    <col min="16" max="16" width="15.5546875" bestFit="1" customWidth="1"/>
    <col min="17" max="17" width="18.109375" bestFit="1" customWidth="1"/>
  </cols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>
        <v>0</v>
      </c>
      <c r="B2">
        <v>901736</v>
      </c>
      <c r="C2">
        <v>1</v>
      </c>
      <c r="D2" t="s">
        <v>32</v>
      </c>
      <c r="E2" t="s">
        <v>33</v>
      </c>
      <c r="F2">
        <v>203.80327869999999</v>
      </c>
      <c r="G2">
        <v>203.80327869999999</v>
      </c>
      <c r="H2">
        <v>0</v>
      </c>
      <c r="I2">
        <v>10.839405230721161</v>
      </c>
      <c r="J2">
        <v>10.839405230721161</v>
      </c>
      <c r="K2">
        <v>0</v>
      </c>
      <c r="L2">
        <v>11.02839611009186</v>
      </c>
      <c r="M2">
        <v>15.23007290289085</v>
      </c>
      <c r="N2">
        <v>0</v>
      </c>
      <c r="O2">
        <v>0</v>
      </c>
      <c r="P2">
        <v>323.11194710000001</v>
      </c>
      <c r="Q2">
        <v>0</v>
      </c>
    </row>
    <row r="3" spans="1:17" x14ac:dyDescent="0.3">
      <c r="A3">
        <v>1</v>
      </c>
      <c r="B3">
        <v>303710</v>
      </c>
      <c r="C3">
        <v>2</v>
      </c>
      <c r="D3" t="s">
        <v>34</v>
      </c>
      <c r="E3" t="s">
        <v>33</v>
      </c>
      <c r="F3">
        <v>35.028688520000003</v>
      </c>
      <c r="G3">
        <v>35.028688520000003</v>
      </c>
      <c r="H3">
        <v>0</v>
      </c>
      <c r="I3">
        <v>6.0036477738421707</v>
      </c>
      <c r="J3">
        <v>6.0036477738421707</v>
      </c>
      <c r="K3">
        <v>0</v>
      </c>
      <c r="L3">
        <v>11.02839611009186</v>
      </c>
      <c r="M3">
        <v>15.23007290289085</v>
      </c>
      <c r="N3">
        <v>0</v>
      </c>
      <c r="O3">
        <v>0</v>
      </c>
      <c r="P3">
        <v>360.43338410000001</v>
      </c>
      <c r="Q3">
        <v>323.11194710000001</v>
      </c>
    </row>
    <row r="4" spans="1:17" x14ac:dyDescent="0.3">
      <c r="A4">
        <v>2</v>
      </c>
      <c r="B4">
        <v>303711</v>
      </c>
      <c r="C4">
        <v>3</v>
      </c>
      <c r="D4" t="s">
        <v>35</v>
      </c>
      <c r="E4" t="s">
        <v>36</v>
      </c>
      <c r="F4">
        <v>11.1454918</v>
      </c>
      <c r="G4">
        <v>0</v>
      </c>
      <c r="H4">
        <v>-11.1454918</v>
      </c>
      <c r="I4">
        <v>5.3193424734431414</v>
      </c>
      <c r="J4">
        <v>5</v>
      </c>
      <c r="K4">
        <v>-0.31934247344314137</v>
      </c>
      <c r="L4">
        <v>11.02839611009186</v>
      </c>
      <c r="M4">
        <v>0</v>
      </c>
      <c r="N4">
        <v>15.97368294335427</v>
      </c>
      <c r="O4">
        <v>240.77705879999999</v>
      </c>
      <c r="P4">
        <v>240.77705879999999</v>
      </c>
      <c r="Q4">
        <v>360.43338410000001</v>
      </c>
    </row>
    <row r="5" spans="1:17" x14ac:dyDescent="0.3">
      <c r="A5">
        <v>3</v>
      </c>
      <c r="B5">
        <v>303712</v>
      </c>
      <c r="C5">
        <v>4</v>
      </c>
      <c r="D5" t="s">
        <v>37</v>
      </c>
      <c r="E5" t="s">
        <v>33</v>
      </c>
      <c r="F5">
        <v>74.834016390000002</v>
      </c>
      <c r="G5">
        <v>85.979508190000004</v>
      </c>
      <c r="H5">
        <v>11.1454918</v>
      </c>
      <c r="I5">
        <v>7.1441566079360603</v>
      </c>
      <c r="J5">
        <v>7.4634990813792008</v>
      </c>
      <c r="K5">
        <v>0.31934247344314048</v>
      </c>
      <c r="L5">
        <v>11.02839611009186</v>
      </c>
      <c r="M5">
        <v>15.23007290289085</v>
      </c>
      <c r="N5">
        <v>0</v>
      </c>
      <c r="O5">
        <v>0</v>
      </c>
      <c r="P5">
        <v>292.94534119999997</v>
      </c>
      <c r="Q5">
        <v>240.77705879999999</v>
      </c>
    </row>
    <row r="6" spans="1:17" x14ac:dyDescent="0.3">
      <c r="A6">
        <v>4</v>
      </c>
      <c r="B6">
        <v>303713</v>
      </c>
      <c r="C6">
        <v>5</v>
      </c>
      <c r="D6" t="s">
        <v>38</v>
      </c>
      <c r="E6" t="s">
        <v>33</v>
      </c>
      <c r="F6">
        <v>294.55942620000002</v>
      </c>
      <c r="G6">
        <v>294.55942620000002</v>
      </c>
      <c r="H6">
        <v>0</v>
      </c>
      <c r="I6">
        <v>13.439765371206001</v>
      </c>
      <c r="J6">
        <v>13.439765371206001</v>
      </c>
      <c r="K6">
        <v>-1.7763568394002501E-15</v>
      </c>
      <c r="L6">
        <v>11.02839611009186</v>
      </c>
      <c r="M6">
        <v>15.23007290289085</v>
      </c>
      <c r="N6">
        <v>0</v>
      </c>
      <c r="O6">
        <v>0</v>
      </c>
      <c r="P6">
        <v>243.12492470000001</v>
      </c>
      <c r="Q6">
        <v>292.94534119999997</v>
      </c>
    </row>
    <row r="7" spans="1:17" x14ac:dyDescent="0.3">
      <c r="A7">
        <v>5</v>
      </c>
      <c r="B7">
        <v>303714</v>
      </c>
      <c r="C7">
        <v>6</v>
      </c>
      <c r="D7" t="s">
        <v>39</v>
      </c>
      <c r="E7" t="s">
        <v>33</v>
      </c>
      <c r="F7">
        <v>39.805327869999999</v>
      </c>
      <c r="G7">
        <v>39.805327869999999</v>
      </c>
      <c r="H7">
        <v>0</v>
      </c>
      <c r="I7">
        <v>6.1405088340938896</v>
      </c>
      <c r="J7">
        <v>6.1405088340938896</v>
      </c>
      <c r="K7">
        <v>0</v>
      </c>
      <c r="L7">
        <v>11.02839611009186</v>
      </c>
      <c r="M7">
        <v>15.23007290289085</v>
      </c>
      <c r="N7">
        <v>0</v>
      </c>
      <c r="O7">
        <v>0</v>
      </c>
      <c r="P7">
        <v>218.6916086</v>
      </c>
      <c r="Q7">
        <v>243.12492470000001</v>
      </c>
    </row>
    <row r="8" spans="1:17" x14ac:dyDescent="0.3">
      <c r="A8">
        <v>6</v>
      </c>
      <c r="B8">
        <v>306974</v>
      </c>
      <c r="C8">
        <v>7</v>
      </c>
      <c r="D8" t="s">
        <v>40</v>
      </c>
      <c r="E8" t="s">
        <v>36</v>
      </c>
      <c r="F8">
        <v>15.92213115</v>
      </c>
      <c r="G8">
        <v>0</v>
      </c>
      <c r="H8">
        <v>-15.92213115</v>
      </c>
      <c r="I8">
        <v>5.4562035336948602</v>
      </c>
      <c r="J8">
        <v>5</v>
      </c>
      <c r="K8">
        <v>-0.45620353369486022</v>
      </c>
      <c r="L8">
        <v>11.02839611009186</v>
      </c>
      <c r="M8">
        <v>0</v>
      </c>
      <c r="N8">
        <v>11.121409922824149</v>
      </c>
      <c r="O8">
        <v>117.3459036</v>
      </c>
      <c r="P8">
        <v>117.3459036</v>
      </c>
      <c r="Q8">
        <v>218.6916086</v>
      </c>
    </row>
    <row r="9" spans="1:17" x14ac:dyDescent="0.3">
      <c r="A9">
        <v>7</v>
      </c>
      <c r="B9">
        <v>306322</v>
      </c>
      <c r="C9">
        <v>8</v>
      </c>
      <c r="D9" t="s">
        <v>41</v>
      </c>
      <c r="E9" t="s">
        <v>33</v>
      </c>
      <c r="F9">
        <v>44.581967210000002</v>
      </c>
      <c r="G9">
        <v>60.50409836</v>
      </c>
      <c r="H9">
        <v>15.92213115</v>
      </c>
      <c r="I9">
        <v>6.2773698940590874</v>
      </c>
      <c r="J9">
        <v>6.7335734277539467</v>
      </c>
      <c r="K9">
        <v>0.45620353369485928</v>
      </c>
      <c r="L9">
        <v>11.02839611009186</v>
      </c>
      <c r="M9">
        <v>15.23007290289085</v>
      </c>
      <c r="N9">
        <v>0</v>
      </c>
      <c r="O9">
        <v>0</v>
      </c>
      <c r="P9">
        <v>170.1646203</v>
      </c>
      <c r="Q9">
        <v>117.3459036</v>
      </c>
    </row>
    <row r="10" spans="1:17" x14ac:dyDescent="0.3">
      <c r="A10">
        <v>8</v>
      </c>
      <c r="B10">
        <v>303717</v>
      </c>
      <c r="C10">
        <v>9</v>
      </c>
      <c r="D10" t="s">
        <v>42</v>
      </c>
      <c r="E10" t="s">
        <v>33</v>
      </c>
      <c r="F10">
        <v>27.067622950000001</v>
      </c>
      <c r="G10">
        <v>27.067622950000001</v>
      </c>
      <c r="H10">
        <v>0</v>
      </c>
      <c r="I10">
        <v>5.7755460071380016</v>
      </c>
      <c r="J10">
        <v>5.7755460071380016</v>
      </c>
      <c r="K10">
        <v>0</v>
      </c>
      <c r="L10">
        <v>11.02839611009186</v>
      </c>
      <c r="M10">
        <v>15.23007290289085</v>
      </c>
      <c r="N10">
        <v>0</v>
      </c>
      <c r="O10">
        <v>0</v>
      </c>
      <c r="P10">
        <v>194.21300890000001</v>
      </c>
      <c r="Q10">
        <v>170.1646203</v>
      </c>
    </row>
    <row r="11" spans="1:17" x14ac:dyDescent="0.3">
      <c r="A11">
        <v>9</v>
      </c>
      <c r="B11">
        <v>303718</v>
      </c>
      <c r="C11">
        <v>10</v>
      </c>
      <c r="D11" t="s">
        <v>43</v>
      </c>
      <c r="E11" t="s">
        <v>36</v>
      </c>
      <c r="F11">
        <v>4.7766393440000003</v>
      </c>
      <c r="G11">
        <v>0</v>
      </c>
      <c r="H11">
        <v>-4.7766393440000003</v>
      </c>
      <c r="I11">
        <v>5.1368610600798057</v>
      </c>
      <c r="J11">
        <v>5</v>
      </c>
      <c r="K11">
        <v>-0.1368610600798057</v>
      </c>
      <c r="L11">
        <v>11.02839611009186</v>
      </c>
      <c r="M11">
        <v>0</v>
      </c>
      <c r="N11">
        <v>5.4475404630973818</v>
      </c>
      <c r="O11">
        <v>191.59637810000001</v>
      </c>
      <c r="P11">
        <v>191.59637810000001</v>
      </c>
      <c r="Q11">
        <v>194.21300890000001</v>
      </c>
    </row>
    <row r="12" spans="1:17" x14ac:dyDescent="0.3">
      <c r="A12">
        <v>10</v>
      </c>
      <c r="B12">
        <v>308136</v>
      </c>
      <c r="C12">
        <v>11</v>
      </c>
      <c r="D12" t="s">
        <v>44</v>
      </c>
      <c r="E12" t="s">
        <v>33</v>
      </c>
      <c r="F12">
        <v>240.42418029999999</v>
      </c>
      <c r="G12">
        <v>245.20081964400001</v>
      </c>
      <c r="H12">
        <v>4.7766393439999888</v>
      </c>
      <c r="I12">
        <v>11.888673356929999</v>
      </c>
      <c r="J12">
        <v>12.0255344170098</v>
      </c>
      <c r="K12">
        <v>0.1368610600798057</v>
      </c>
      <c r="L12">
        <v>11.02839611009186</v>
      </c>
      <c r="M12">
        <v>15.23007290289085</v>
      </c>
      <c r="N12">
        <v>0</v>
      </c>
      <c r="O12">
        <v>0</v>
      </c>
      <c r="P12">
        <v>310.22546720000003</v>
      </c>
      <c r="Q12">
        <v>191.59637810000001</v>
      </c>
    </row>
    <row r="13" spans="1:17" x14ac:dyDescent="0.3">
      <c r="A13">
        <v>11</v>
      </c>
      <c r="B13">
        <v>303720</v>
      </c>
      <c r="C13">
        <v>12</v>
      </c>
      <c r="D13" t="s">
        <v>45</v>
      </c>
      <c r="E13" t="s">
        <v>36</v>
      </c>
      <c r="F13">
        <v>19.106557380000002</v>
      </c>
      <c r="G13">
        <v>0</v>
      </c>
      <c r="H13">
        <v>-19.106557380000002</v>
      </c>
      <c r="I13">
        <v>5.5474442404338324</v>
      </c>
      <c r="J13">
        <v>5</v>
      </c>
      <c r="K13">
        <v>-0.54744424043383244</v>
      </c>
      <c r="L13">
        <v>11.02839611009186</v>
      </c>
      <c r="M13">
        <v>0</v>
      </c>
      <c r="N13">
        <v>33.789912982984923</v>
      </c>
      <c r="O13">
        <v>297.10770330000003</v>
      </c>
      <c r="P13">
        <v>297.10770330000003</v>
      </c>
      <c r="Q13">
        <v>310.22546720000003</v>
      </c>
    </row>
    <row r="14" spans="1:17" x14ac:dyDescent="0.3">
      <c r="A14">
        <v>12</v>
      </c>
      <c r="B14">
        <v>303722</v>
      </c>
      <c r="C14">
        <v>13</v>
      </c>
      <c r="D14" t="s">
        <v>46</v>
      </c>
      <c r="E14" t="s">
        <v>33</v>
      </c>
      <c r="F14">
        <v>19.106557380000002</v>
      </c>
      <c r="G14">
        <v>38.213114760000003</v>
      </c>
      <c r="H14">
        <v>19.106557380000002</v>
      </c>
      <c r="I14">
        <v>5.5474442404338324</v>
      </c>
      <c r="J14">
        <v>6.094888480867664</v>
      </c>
      <c r="K14">
        <v>0.54744424043383155</v>
      </c>
      <c r="L14">
        <v>11.02839611009186</v>
      </c>
      <c r="M14">
        <v>15.23007290289085</v>
      </c>
      <c r="N14">
        <v>0</v>
      </c>
      <c r="O14">
        <v>0</v>
      </c>
      <c r="P14">
        <v>199.09886739999999</v>
      </c>
      <c r="Q14">
        <v>297.10770330000003</v>
      </c>
    </row>
    <row r="15" spans="1:17" x14ac:dyDescent="0.3">
      <c r="A15">
        <v>13</v>
      </c>
      <c r="B15">
        <v>303723</v>
      </c>
      <c r="C15">
        <v>14</v>
      </c>
      <c r="D15" t="s">
        <v>47</v>
      </c>
      <c r="E15" t="s">
        <v>36</v>
      </c>
      <c r="F15">
        <v>9.5532786890000008</v>
      </c>
      <c r="G15">
        <v>0</v>
      </c>
      <c r="H15">
        <v>-9.5532786890000008</v>
      </c>
      <c r="I15">
        <v>5.273722120188264</v>
      </c>
      <c r="J15">
        <v>5</v>
      </c>
      <c r="K15">
        <v>-0.27372212018826397</v>
      </c>
      <c r="L15">
        <v>11.02839611009186</v>
      </c>
      <c r="M15">
        <v>0</v>
      </c>
      <c r="N15">
        <v>9.7108508600631698</v>
      </c>
      <c r="O15">
        <v>170.7709989</v>
      </c>
      <c r="P15">
        <v>170.7709989</v>
      </c>
      <c r="Q15">
        <v>199.09886739999999</v>
      </c>
    </row>
    <row r="16" spans="1:17" x14ac:dyDescent="0.3">
      <c r="A16">
        <v>14</v>
      </c>
      <c r="B16">
        <v>303724</v>
      </c>
      <c r="C16">
        <v>15</v>
      </c>
      <c r="D16" t="s">
        <v>48</v>
      </c>
      <c r="E16" t="s">
        <v>33</v>
      </c>
      <c r="F16">
        <v>3.1844262300000001</v>
      </c>
      <c r="G16">
        <v>23.883196719000001</v>
      </c>
      <c r="H16">
        <v>20.698770489000001</v>
      </c>
      <c r="I16">
        <v>5.0912407067389722</v>
      </c>
      <c r="J16">
        <v>5.6843053003703767</v>
      </c>
      <c r="K16">
        <v>0.59306459363140451</v>
      </c>
      <c r="L16">
        <v>11.02839611009186</v>
      </c>
      <c r="M16">
        <v>15.23007290289085</v>
      </c>
      <c r="N16">
        <v>0</v>
      </c>
      <c r="O16">
        <v>0</v>
      </c>
      <c r="P16">
        <v>96.444100759999998</v>
      </c>
      <c r="Q16">
        <v>170.7709989</v>
      </c>
    </row>
    <row r="17" spans="1:17" x14ac:dyDescent="0.3">
      <c r="A17">
        <v>15</v>
      </c>
      <c r="B17">
        <v>303725</v>
      </c>
      <c r="C17">
        <v>16</v>
      </c>
      <c r="D17" t="s">
        <v>49</v>
      </c>
      <c r="E17" t="s">
        <v>36</v>
      </c>
      <c r="F17">
        <v>11.1454918</v>
      </c>
      <c r="G17">
        <v>0</v>
      </c>
      <c r="H17">
        <v>-11.1454918</v>
      </c>
      <c r="I17">
        <v>5.3193424734431414</v>
      </c>
      <c r="J17">
        <v>5</v>
      </c>
      <c r="K17">
        <v>-0.31934247344314137</v>
      </c>
      <c r="L17">
        <v>11.02839611009186</v>
      </c>
      <c r="M17">
        <v>0</v>
      </c>
      <c r="N17">
        <v>6.3983150843985346</v>
      </c>
      <c r="O17">
        <v>96.444100759999998</v>
      </c>
      <c r="P17">
        <v>162.72000449999999</v>
      </c>
      <c r="Q17">
        <v>96.444100759999998</v>
      </c>
    </row>
    <row r="18" spans="1:17" x14ac:dyDescent="0.3">
      <c r="A18">
        <v>16</v>
      </c>
      <c r="B18">
        <v>303726</v>
      </c>
      <c r="C18">
        <v>17</v>
      </c>
      <c r="D18" t="s">
        <v>50</v>
      </c>
      <c r="E18" t="s">
        <v>33</v>
      </c>
      <c r="F18">
        <v>366.2090164</v>
      </c>
      <c r="G18">
        <v>377.3545082</v>
      </c>
      <c r="H18">
        <v>11.1454918</v>
      </c>
      <c r="I18">
        <v>15.49268127354917</v>
      </c>
      <c r="J18">
        <v>15.81202374699232</v>
      </c>
      <c r="K18">
        <v>0.31934247344314137</v>
      </c>
      <c r="L18">
        <v>11.02839611009186</v>
      </c>
      <c r="M18">
        <v>15.23007290289085</v>
      </c>
      <c r="N18">
        <v>0</v>
      </c>
      <c r="O18">
        <v>0</v>
      </c>
      <c r="P18">
        <v>81.699255440000002</v>
      </c>
      <c r="Q18">
        <v>162.72000449999999</v>
      </c>
    </row>
    <row r="19" spans="1:17" x14ac:dyDescent="0.3">
      <c r="A19">
        <v>17</v>
      </c>
      <c r="B19">
        <v>303727</v>
      </c>
      <c r="C19">
        <v>18</v>
      </c>
      <c r="D19" t="s">
        <v>51</v>
      </c>
      <c r="E19" t="s">
        <v>36</v>
      </c>
      <c r="F19">
        <v>11.1454918</v>
      </c>
      <c r="G19">
        <v>0</v>
      </c>
      <c r="H19">
        <v>-11.1454918</v>
      </c>
      <c r="I19">
        <v>5.3193424734431414</v>
      </c>
      <c r="J19">
        <v>5</v>
      </c>
      <c r="K19">
        <v>-0.31934247344314137</v>
      </c>
      <c r="L19">
        <v>11.02839611009186</v>
      </c>
      <c r="M19">
        <v>0</v>
      </c>
      <c r="N19">
        <v>5.4201094141227717</v>
      </c>
      <c r="O19">
        <v>81.699255440000002</v>
      </c>
      <c r="P19">
        <v>164.48093270000001</v>
      </c>
      <c r="Q19">
        <v>81.699255440000002</v>
      </c>
    </row>
    <row r="20" spans="1:17" x14ac:dyDescent="0.3">
      <c r="A20">
        <v>18</v>
      </c>
      <c r="B20">
        <v>303728</v>
      </c>
      <c r="C20">
        <v>19</v>
      </c>
      <c r="D20" t="s">
        <v>52</v>
      </c>
      <c r="E20" t="s">
        <v>33</v>
      </c>
      <c r="F20">
        <v>4.7766393440000003</v>
      </c>
      <c r="G20">
        <v>14.329918033</v>
      </c>
      <c r="H20">
        <v>9.5532786890000025</v>
      </c>
      <c r="I20">
        <v>5.1368610600798057</v>
      </c>
      <c r="J20">
        <v>5.4105831802680697</v>
      </c>
      <c r="K20">
        <v>0.27372212018826397</v>
      </c>
      <c r="L20">
        <v>11.02839611009186</v>
      </c>
      <c r="M20">
        <v>15.23007290289085</v>
      </c>
      <c r="N20">
        <v>0</v>
      </c>
      <c r="O20">
        <v>0</v>
      </c>
      <c r="P20">
        <v>120.7328153</v>
      </c>
      <c r="Q20">
        <v>164.48093270000001</v>
      </c>
    </row>
    <row r="21" spans="1:17" x14ac:dyDescent="0.3">
      <c r="A21">
        <v>19</v>
      </c>
      <c r="B21">
        <v>303729</v>
      </c>
      <c r="C21">
        <v>20</v>
      </c>
      <c r="D21" t="s">
        <v>53</v>
      </c>
      <c r="E21" t="s">
        <v>36</v>
      </c>
      <c r="F21">
        <v>9.5532786890000008</v>
      </c>
      <c r="G21">
        <v>0</v>
      </c>
      <c r="H21">
        <v>-9.5532786890000008</v>
      </c>
      <c r="I21">
        <v>5.273722120188264</v>
      </c>
      <c r="J21">
        <v>5</v>
      </c>
      <c r="K21">
        <v>-0.27372212018826397</v>
      </c>
      <c r="L21">
        <v>11.02839611009186</v>
      </c>
      <c r="M21">
        <v>0</v>
      </c>
      <c r="N21">
        <v>6.8654418539789486</v>
      </c>
      <c r="O21">
        <v>120.7328153</v>
      </c>
      <c r="P21">
        <v>207.58367480000001</v>
      </c>
      <c r="Q21">
        <v>120.7328153</v>
      </c>
    </row>
    <row r="22" spans="1:17" x14ac:dyDescent="0.3">
      <c r="A22">
        <v>20</v>
      </c>
      <c r="B22">
        <v>303730</v>
      </c>
      <c r="C22">
        <v>21</v>
      </c>
      <c r="D22" t="s">
        <v>54</v>
      </c>
      <c r="E22" t="s">
        <v>33</v>
      </c>
      <c r="F22">
        <v>28.659836070000001</v>
      </c>
      <c r="G22">
        <v>28.659836070000001</v>
      </c>
      <c r="H22">
        <v>0</v>
      </c>
      <c r="I22">
        <v>5.8211663606507473</v>
      </c>
      <c r="J22">
        <v>5.8211663606507473</v>
      </c>
      <c r="K22">
        <v>0</v>
      </c>
      <c r="L22">
        <v>11.02839611009186</v>
      </c>
      <c r="M22">
        <v>15.23007290289085</v>
      </c>
      <c r="N22">
        <v>0</v>
      </c>
      <c r="O22">
        <v>0</v>
      </c>
      <c r="P22">
        <v>168.0147666</v>
      </c>
      <c r="Q22">
        <v>207.58367480000001</v>
      </c>
    </row>
    <row r="23" spans="1:17" x14ac:dyDescent="0.3">
      <c r="A23">
        <v>21</v>
      </c>
      <c r="B23">
        <v>303731</v>
      </c>
      <c r="C23">
        <v>22</v>
      </c>
      <c r="D23" t="s">
        <v>55</v>
      </c>
      <c r="E23" t="s">
        <v>33</v>
      </c>
      <c r="F23">
        <v>30.25204918</v>
      </c>
      <c r="G23">
        <v>50.950819670000001</v>
      </c>
      <c r="H23">
        <v>20.698770490000001</v>
      </c>
      <c r="I23">
        <v>5.8667867138769729</v>
      </c>
      <c r="J23">
        <v>6.4598513075370301</v>
      </c>
      <c r="K23">
        <v>0.59306459366005715</v>
      </c>
      <c r="L23">
        <v>11.02839611009186</v>
      </c>
      <c r="M23">
        <v>15.23007290289085</v>
      </c>
      <c r="N23">
        <v>0</v>
      </c>
      <c r="O23">
        <v>0</v>
      </c>
      <c r="P23">
        <v>165.94765860000001</v>
      </c>
      <c r="Q23">
        <v>168.0147666</v>
      </c>
    </row>
    <row r="24" spans="1:17" x14ac:dyDescent="0.3">
      <c r="A24">
        <v>22</v>
      </c>
      <c r="B24">
        <v>303732</v>
      </c>
      <c r="C24">
        <v>23</v>
      </c>
      <c r="D24" t="s">
        <v>56</v>
      </c>
      <c r="E24" t="s">
        <v>36</v>
      </c>
      <c r="F24">
        <v>20.698770490000001</v>
      </c>
      <c r="G24">
        <v>0</v>
      </c>
      <c r="H24">
        <v>-20.698770490000001</v>
      </c>
      <c r="I24">
        <v>5.5930645936600571</v>
      </c>
      <c r="J24">
        <v>5</v>
      </c>
      <c r="K24">
        <v>-0.59306459366005715</v>
      </c>
      <c r="L24">
        <v>11.02839611009186</v>
      </c>
      <c r="M24">
        <v>0</v>
      </c>
      <c r="N24">
        <v>20.445907730442119</v>
      </c>
      <c r="O24">
        <v>165.94765860000001</v>
      </c>
      <c r="P24">
        <v>244.73398449999999</v>
      </c>
      <c r="Q24">
        <v>165.94765860000001</v>
      </c>
    </row>
    <row r="25" spans="1:17" x14ac:dyDescent="0.3">
      <c r="A25">
        <v>23</v>
      </c>
      <c r="B25">
        <v>303733</v>
      </c>
      <c r="C25">
        <v>24</v>
      </c>
      <c r="D25" t="s">
        <v>57</v>
      </c>
      <c r="E25" t="s">
        <v>33</v>
      </c>
      <c r="F25">
        <v>19.106557380000002</v>
      </c>
      <c r="G25">
        <v>41.397540990000003</v>
      </c>
      <c r="H25">
        <v>22.290983610000001</v>
      </c>
      <c r="I25">
        <v>5.5474442404338324</v>
      </c>
      <c r="J25">
        <v>6.1861291876066362</v>
      </c>
      <c r="K25">
        <v>0.63868494717280377</v>
      </c>
      <c r="L25">
        <v>11.02839611009186</v>
      </c>
      <c r="M25">
        <v>15.23007290289085</v>
      </c>
      <c r="N25">
        <v>0</v>
      </c>
      <c r="O25">
        <v>0</v>
      </c>
      <c r="P25">
        <v>118.5546473</v>
      </c>
      <c r="Q25">
        <v>244.73398449999999</v>
      </c>
    </row>
    <row r="26" spans="1:17" x14ac:dyDescent="0.3">
      <c r="A26">
        <v>24</v>
      </c>
      <c r="B26">
        <v>303734</v>
      </c>
      <c r="C26">
        <v>25</v>
      </c>
      <c r="D26" t="s">
        <v>58</v>
      </c>
      <c r="E26" t="s">
        <v>36</v>
      </c>
      <c r="F26">
        <v>22.290983610000001</v>
      </c>
      <c r="G26">
        <v>0</v>
      </c>
      <c r="H26">
        <v>-22.290983610000001</v>
      </c>
      <c r="I26">
        <v>5.6386849471728047</v>
      </c>
      <c r="J26">
        <v>5</v>
      </c>
      <c r="K26">
        <v>-0.63868494717280466</v>
      </c>
      <c r="L26">
        <v>11.02839611009186</v>
      </c>
      <c r="M26">
        <v>0</v>
      </c>
      <c r="N26">
        <v>15.730355356271611</v>
      </c>
      <c r="O26">
        <v>118.5546473</v>
      </c>
      <c r="P26">
        <v>209.00191190000001</v>
      </c>
      <c r="Q26">
        <v>118.5546473</v>
      </c>
    </row>
    <row r="27" spans="1:17" x14ac:dyDescent="0.3">
      <c r="A27">
        <v>25</v>
      </c>
      <c r="B27">
        <v>303735</v>
      </c>
      <c r="C27">
        <v>26</v>
      </c>
      <c r="D27" t="s">
        <v>59</v>
      </c>
      <c r="E27" t="s">
        <v>33</v>
      </c>
      <c r="F27">
        <v>46.174180329999999</v>
      </c>
      <c r="G27">
        <v>46.174180329999999</v>
      </c>
      <c r="H27">
        <v>0</v>
      </c>
      <c r="I27">
        <v>6.3229902475718331</v>
      </c>
      <c r="J27">
        <v>6.3229902475718331</v>
      </c>
      <c r="K27">
        <v>0</v>
      </c>
      <c r="L27">
        <v>11.02839611009186</v>
      </c>
      <c r="M27">
        <v>15.23007290289085</v>
      </c>
      <c r="N27">
        <v>0</v>
      </c>
      <c r="O27">
        <v>0</v>
      </c>
      <c r="P27">
        <v>162.64885949999999</v>
      </c>
      <c r="Q27">
        <v>209.00191190000001</v>
      </c>
    </row>
    <row r="28" spans="1:17" x14ac:dyDescent="0.3">
      <c r="A28">
        <v>26</v>
      </c>
      <c r="B28">
        <v>303736</v>
      </c>
      <c r="C28">
        <v>27</v>
      </c>
      <c r="D28" t="s">
        <v>60</v>
      </c>
      <c r="E28" t="s">
        <v>33</v>
      </c>
      <c r="F28">
        <v>81.202868850000002</v>
      </c>
      <c r="G28">
        <v>81.202868850000002</v>
      </c>
      <c r="H28">
        <v>0</v>
      </c>
      <c r="I28">
        <v>7.326638021414003</v>
      </c>
      <c r="J28">
        <v>7.326638021414003</v>
      </c>
      <c r="K28">
        <v>0</v>
      </c>
      <c r="L28">
        <v>11.02839611009186</v>
      </c>
      <c r="M28">
        <v>15.23007290289085</v>
      </c>
      <c r="N28">
        <v>0</v>
      </c>
      <c r="O28">
        <v>0</v>
      </c>
      <c r="P28">
        <v>255.6091552</v>
      </c>
      <c r="Q28">
        <v>162.64885949999999</v>
      </c>
    </row>
    <row r="29" spans="1:17" x14ac:dyDescent="0.3">
      <c r="A29">
        <v>27</v>
      </c>
      <c r="B29">
        <v>303737</v>
      </c>
      <c r="C29">
        <v>28</v>
      </c>
      <c r="D29" t="s">
        <v>61</v>
      </c>
      <c r="E29" t="s">
        <v>33</v>
      </c>
      <c r="F29">
        <v>65.280737700000003</v>
      </c>
      <c r="G29">
        <v>65.280737700000003</v>
      </c>
      <c r="H29">
        <v>0</v>
      </c>
      <c r="I29">
        <v>6.8704344877191437</v>
      </c>
      <c r="J29">
        <v>6.8704344877191437</v>
      </c>
      <c r="K29">
        <v>0</v>
      </c>
      <c r="L29">
        <v>11.02839611009186</v>
      </c>
      <c r="M29">
        <v>15.23007290289085</v>
      </c>
      <c r="N29">
        <v>0</v>
      </c>
      <c r="O29">
        <v>0</v>
      </c>
      <c r="P29">
        <v>246.27858119999999</v>
      </c>
      <c r="Q29">
        <v>255.6091552</v>
      </c>
    </row>
    <row r="30" spans="1:17" x14ac:dyDescent="0.3">
      <c r="A30">
        <v>28</v>
      </c>
      <c r="B30">
        <v>303738</v>
      </c>
      <c r="C30">
        <v>29</v>
      </c>
      <c r="D30" t="s">
        <v>62</v>
      </c>
      <c r="E30" t="s">
        <v>36</v>
      </c>
      <c r="F30">
        <v>17.514344260000001</v>
      </c>
      <c r="G30">
        <v>0</v>
      </c>
      <c r="H30">
        <v>-17.514344260000001</v>
      </c>
      <c r="I30">
        <v>5.5018238869210849</v>
      </c>
      <c r="J30">
        <v>5</v>
      </c>
      <c r="K30">
        <v>-0.50182388692108493</v>
      </c>
      <c r="L30">
        <v>11.02839611009186</v>
      </c>
      <c r="M30">
        <v>0</v>
      </c>
      <c r="N30">
        <v>21.153377036597941</v>
      </c>
      <c r="O30">
        <v>202.9061031</v>
      </c>
      <c r="P30">
        <v>202.9061031</v>
      </c>
      <c r="Q30">
        <v>246.27858119999999</v>
      </c>
    </row>
    <row r="31" spans="1:17" x14ac:dyDescent="0.3">
      <c r="A31">
        <v>29</v>
      </c>
      <c r="B31">
        <v>304663</v>
      </c>
      <c r="C31">
        <v>30</v>
      </c>
      <c r="D31" t="s">
        <v>63</v>
      </c>
      <c r="E31" t="s">
        <v>33</v>
      </c>
      <c r="F31">
        <v>41.397540980000002</v>
      </c>
      <c r="G31">
        <v>58.911885239999997</v>
      </c>
      <c r="H31">
        <v>17.514344260000001</v>
      </c>
      <c r="I31">
        <v>6.1861291873201152</v>
      </c>
      <c r="J31">
        <v>6.6879530742412001</v>
      </c>
      <c r="K31">
        <v>0.50182388692108493</v>
      </c>
      <c r="L31">
        <v>11.02839611009186</v>
      </c>
      <c r="M31">
        <v>15.23007290289085</v>
      </c>
      <c r="N31">
        <v>0</v>
      </c>
      <c r="O31">
        <v>0</v>
      </c>
      <c r="P31">
        <v>178.8285429</v>
      </c>
      <c r="Q31">
        <v>202.9061031</v>
      </c>
    </row>
    <row r="32" spans="1:17" x14ac:dyDescent="0.3">
      <c r="A32">
        <v>30</v>
      </c>
      <c r="B32">
        <v>304664</v>
      </c>
      <c r="C32">
        <v>31</v>
      </c>
      <c r="D32" t="s">
        <v>64</v>
      </c>
      <c r="E32" t="s">
        <v>33</v>
      </c>
      <c r="F32">
        <v>178.3278689</v>
      </c>
      <c r="G32">
        <v>203.80327874</v>
      </c>
      <c r="H32">
        <v>25.475409840000001</v>
      </c>
      <c r="I32">
        <v>10.109479577955479</v>
      </c>
      <c r="J32">
        <v>10.83940523186725</v>
      </c>
      <c r="K32">
        <v>0.729925653911776</v>
      </c>
      <c r="L32">
        <v>11.02839611009186</v>
      </c>
      <c r="M32">
        <v>15.23007290289085</v>
      </c>
      <c r="N32">
        <v>0</v>
      </c>
      <c r="O32">
        <v>0</v>
      </c>
      <c r="P32">
        <v>222.50446009999999</v>
      </c>
      <c r="Q32">
        <v>178.8285429</v>
      </c>
    </row>
    <row r="33" spans="1:17" x14ac:dyDescent="0.3">
      <c r="A33">
        <v>31</v>
      </c>
      <c r="B33">
        <v>306600</v>
      </c>
      <c r="C33">
        <v>32</v>
      </c>
      <c r="D33" t="s">
        <v>65</v>
      </c>
      <c r="E33" t="s">
        <v>36</v>
      </c>
      <c r="F33">
        <v>25.475409840000001</v>
      </c>
      <c r="G33">
        <v>0</v>
      </c>
      <c r="H33">
        <v>-25.475409840000001</v>
      </c>
      <c r="I33">
        <v>5.7299256539117769</v>
      </c>
      <c r="J33">
        <v>5</v>
      </c>
      <c r="K33">
        <v>-0.72992565391177688</v>
      </c>
      <c r="L33">
        <v>11.02839611009186</v>
      </c>
      <c r="M33">
        <v>0</v>
      </c>
      <c r="N33">
        <v>33.740430430210878</v>
      </c>
      <c r="O33">
        <v>222.50446009999999</v>
      </c>
      <c r="P33">
        <v>241.0194118</v>
      </c>
      <c r="Q33">
        <v>222.50446009999999</v>
      </c>
    </row>
    <row r="34" spans="1:17" x14ac:dyDescent="0.3">
      <c r="A34">
        <v>32</v>
      </c>
      <c r="B34">
        <v>306676</v>
      </c>
      <c r="C34">
        <v>33</v>
      </c>
      <c r="D34" t="s">
        <v>66</v>
      </c>
      <c r="E34" t="s">
        <v>33</v>
      </c>
      <c r="F34">
        <v>17.514344260000001</v>
      </c>
      <c r="G34">
        <v>30.25204918</v>
      </c>
      <c r="H34">
        <v>12.737704920000001</v>
      </c>
      <c r="I34">
        <v>5.5018238869210849</v>
      </c>
      <c r="J34">
        <v>5.8667867138769729</v>
      </c>
      <c r="K34">
        <v>0.364962826955888</v>
      </c>
      <c r="L34">
        <v>11.02839611009186</v>
      </c>
      <c r="M34">
        <v>15.23007290289085</v>
      </c>
      <c r="N34">
        <v>0</v>
      </c>
      <c r="O34">
        <v>0</v>
      </c>
      <c r="P34">
        <v>239.0170707</v>
      </c>
      <c r="Q34">
        <v>241.0194118</v>
      </c>
    </row>
    <row r="35" spans="1:17" x14ac:dyDescent="0.3">
      <c r="A35">
        <v>33</v>
      </c>
      <c r="B35">
        <v>306677</v>
      </c>
      <c r="C35">
        <v>34</v>
      </c>
      <c r="D35" t="s">
        <v>67</v>
      </c>
      <c r="E35" t="s">
        <v>36</v>
      </c>
      <c r="F35">
        <v>12.737704920000001</v>
      </c>
      <c r="G35">
        <v>0</v>
      </c>
      <c r="H35">
        <v>-12.737704920000001</v>
      </c>
      <c r="I35">
        <v>5.364962826955888</v>
      </c>
      <c r="J35">
        <v>5</v>
      </c>
      <c r="K35">
        <v>-0.364962826955888</v>
      </c>
      <c r="L35">
        <v>11.02839611009186</v>
      </c>
      <c r="M35">
        <v>0</v>
      </c>
      <c r="N35">
        <v>18.122195937020109</v>
      </c>
      <c r="O35">
        <v>239.0170707</v>
      </c>
      <c r="P35">
        <v>245.0173752</v>
      </c>
      <c r="Q35">
        <v>239.0170707</v>
      </c>
    </row>
    <row r="36" spans="1:17" x14ac:dyDescent="0.3">
      <c r="A36">
        <v>34</v>
      </c>
      <c r="B36">
        <v>306474</v>
      </c>
      <c r="C36">
        <v>35</v>
      </c>
      <c r="D36" t="s">
        <v>68</v>
      </c>
      <c r="E36" t="s">
        <v>33</v>
      </c>
      <c r="F36">
        <v>20.698770490000001</v>
      </c>
      <c r="G36">
        <v>20.698770490000001</v>
      </c>
      <c r="H36">
        <v>0</v>
      </c>
      <c r="I36">
        <v>5.5930645936600571</v>
      </c>
      <c r="J36">
        <v>5.5930645936600571</v>
      </c>
      <c r="K36">
        <v>0</v>
      </c>
      <c r="L36">
        <v>11.02839611009186</v>
      </c>
      <c r="M36">
        <v>15.23007290289085</v>
      </c>
      <c r="N36">
        <v>0</v>
      </c>
      <c r="O36">
        <v>0</v>
      </c>
      <c r="P36">
        <v>320.80642060000002</v>
      </c>
      <c r="Q36">
        <v>245.0173752</v>
      </c>
    </row>
    <row r="37" spans="1:17" x14ac:dyDescent="0.3">
      <c r="A37">
        <v>35</v>
      </c>
      <c r="B37">
        <v>305263</v>
      </c>
      <c r="C37">
        <v>36</v>
      </c>
      <c r="D37" t="s">
        <v>69</v>
      </c>
      <c r="E37" t="s">
        <v>33</v>
      </c>
      <c r="F37">
        <v>33.43647541</v>
      </c>
      <c r="G37">
        <v>58.911885249999997</v>
      </c>
      <c r="H37">
        <v>25.475409840000001</v>
      </c>
      <c r="I37">
        <v>5.9580274206159451</v>
      </c>
      <c r="J37">
        <v>6.687953074527722</v>
      </c>
      <c r="K37">
        <v>0.72992565391177688</v>
      </c>
      <c r="L37">
        <v>11.02839611009186</v>
      </c>
      <c r="M37">
        <v>15.23007290289085</v>
      </c>
      <c r="N37">
        <v>0</v>
      </c>
      <c r="O37">
        <v>0</v>
      </c>
      <c r="P37">
        <v>157.868393</v>
      </c>
      <c r="Q37">
        <v>320.80642060000002</v>
      </c>
    </row>
    <row r="38" spans="1:17" x14ac:dyDescent="0.3">
      <c r="A38">
        <v>36</v>
      </c>
      <c r="B38">
        <v>305264</v>
      </c>
      <c r="C38">
        <v>37</v>
      </c>
      <c r="D38" t="s">
        <v>70</v>
      </c>
      <c r="E38" t="s">
        <v>36</v>
      </c>
      <c r="F38">
        <v>25.475409840000001</v>
      </c>
      <c r="G38">
        <v>0</v>
      </c>
      <c r="H38">
        <v>-25.475409840000001</v>
      </c>
      <c r="I38">
        <v>5.7299256539117769</v>
      </c>
      <c r="J38">
        <v>5</v>
      </c>
      <c r="K38">
        <v>-0.72992565391177688</v>
      </c>
      <c r="L38">
        <v>11.02839611009186</v>
      </c>
      <c r="M38">
        <v>0</v>
      </c>
      <c r="N38">
        <v>23.939059597959449</v>
      </c>
      <c r="O38">
        <v>157.868393</v>
      </c>
      <c r="P38">
        <v>166.6946796</v>
      </c>
      <c r="Q38">
        <v>157.868393</v>
      </c>
    </row>
    <row r="39" spans="1:17" x14ac:dyDescent="0.3">
      <c r="A39">
        <v>37</v>
      </c>
      <c r="B39">
        <v>305265</v>
      </c>
      <c r="C39">
        <v>38</v>
      </c>
      <c r="D39" t="s">
        <v>71</v>
      </c>
      <c r="E39" t="s">
        <v>33</v>
      </c>
      <c r="F39">
        <v>60.50409836</v>
      </c>
      <c r="G39">
        <v>60.50409836</v>
      </c>
      <c r="H39">
        <v>0</v>
      </c>
      <c r="I39">
        <v>6.7335734277539467</v>
      </c>
      <c r="J39">
        <v>6.7335734277539467</v>
      </c>
      <c r="K39">
        <v>0</v>
      </c>
      <c r="L39">
        <v>11.02839611009186</v>
      </c>
      <c r="M39">
        <v>15.23007290289085</v>
      </c>
      <c r="N39">
        <v>0</v>
      </c>
      <c r="O39">
        <v>0</v>
      </c>
      <c r="P39">
        <v>234.51399240000001</v>
      </c>
      <c r="Q39">
        <v>166.6946796</v>
      </c>
    </row>
    <row r="40" spans="1:17" x14ac:dyDescent="0.3">
      <c r="A40">
        <v>38</v>
      </c>
      <c r="B40">
        <v>306476</v>
      </c>
      <c r="C40">
        <v>39</v>
      </c>
      <c r="D40" t="s">
        <v>72</v>
      </c>
      <c r="E40" t="s">
        <v>33</v>
      </c>
      <c r="F40">
        <v>114.6393443</v>
      </c>
      <c r="G40">
        <v>114.6393443</v>
      </c>
      <c r="H40">
        <v>0</v>
      </c>
      <c r="I40">
        <v>8.2846654431760367</v>
      </c>
      <c r="J40">
        <v>8.2846654431760367</v>
      </c>
      <c r="K40">
        <v>0</v>
      </c>
      <c r="L40">
        <v>11.02839611009186</v>
      </c>
      <c r="M40">
        <v>15.23007290289085</v>
      </c>
      <c r="N40">
        <v>0</v>
      </c>
      <c r="O40">
        <v>0</v>
      </c>
      <c r="P40">
        <v>269.10317950000001</v>
      </c>
      <c r="Q40">
        <v>234.51399240000001</v>
      </c>
    </row>
    <row r="41" spans="1:17" x14ac:dyDescent="0.3">
      <c r="A41">
        <v>39</v>
      </c>
      <c r="B41">
        <v>307114</v>
      </c>
      <c r="C41">
        <v>40</v>
      </c>
      <c r="D41" t="s">
        <v>73</v>
      </c>
      <c r="E41" t="s">
        <v>33</v>
      </c>
      <c r="F41">
        <v>74.834016390000002</v>
      </c>
      <c r="G41">
        <v>74.834016390000002</v>
      </c>
      <c r="H41">
        <v>0</v>
      </c>
      <c r="I41">
        <v>7.1441566079360603</v>
      </c>
      <c r="J41">
        <v>7.1441566079360603</v>
      </c>
      <c r="K41">
        <v>0</v>
      </c>
      <c r="L41">
        <v>11.02839611009186</v>
      </c>
      <c r="M41">
        <v>15.23007290289085</v>
      </c>
      <c r="N41">
        <v>0</v>
      </c>
      <c r="O41">
        <v>0</v>
      </c>
      <c r="P41">
        <v>142.2383088</v>
      </c>
      <c r="Q41">
        <v>269.10317950000001</v>
      </c>
    </row>
    <row r="42" spans="1:17" x14ac:dyDescent="0.3">
      <c r="A42">
        <v>40</v>
      </c>
      <c r="B42">
        <v>306622</v>
      </c>
      <c r="C42">
        <v>41</v>
      </c>
      <c r="D42" t="s">
        <v>74</v>
      </c>
      <c r="E42" t="s">
        <v>33</v>
      </c>
      <c r="F42">
        <v>89.163934429999998</v>
      </c>
      <c r="G42">
        <v>89.163934429999998</v>
      </c>
      <c r="H42">
        <v>0</v>
      </c>
      <c r="I42">
        <v>7.554739788404695</v>
      </c>
      <c r="J42">
        <v>7.554739788404695</v>
      </c>
      <c r="K42">
        <v>0</v>
      </c>
      <c r="L42">
        <v>11.02839611009186</v>
      </c>
      <c r="M42">
        <v>15.23007290289085</v>
      </c>
      <c r="N42">
        <v>0</v>
      </c>
      <c r="O42">
        <v>0</v>
      </c>
      <c r="P42">
        <v>161.3715527</v>
      </c>
      <c r="Q42">
        <v>142.2383088</v>
      </c>
    </row>
    <row r="43" spans="1:17" x14ac:dyDescent="0.3">
      <c r="A43">
        <v>41</v>
      </c>
      <c r="B43">
        <v>305271</v>
      </c>
      <c r="C43">
        <v>42</v>
      </c>
      <c r="D43" t="s">
        <v>75</v>
      </c>
      <c r="E43" t="s">
        <v>36</v>
      </c>
      <c r="F43">
        <v>49.358606559999998</v>
      </c>
      <c r="G43">
        <v>0</v>
      </c>
      <c r="H43">
        <v>-49.358606559999998</v>
      </c>
      <c r="I43">
        <v>6.4142309543108054</v>
      </c>
      <c r="J43">
        <v>5</v>
      </c>
      <c r="K43">
        <v>-1.4142309543108049</v>
      </c>
      <c r="L43">
        <v>11.02839611009186</v>
      </c>
      <c r="M43">
        <v>0</v>
      </c>
      <c r="N43">
        <v>29.375440918359189</v>
      </c>
      <c r="O43">
        <v>99.984063939999999</v>
      </c>
      <c r="P43">
        <v>99.984063939999999</v>
      </c>
      <c r="Q43">
        <v>161.3715527</v>
      </c>
    </row>
    <row r="44" spans="1:17" x14ac:dyDescent="0.3">
      <c r="A44">
        <v>42</v>
      </c>
      <c r="B44">
        <v>305272</v>
      </c>
      <c r="C44">
        <v>43</v>
      </c>
      <c r="D44" t="s">
        <v>76</v>
      </c>
      <c r="E44" t="s">
        <v>33</v>
      </c>
      <c r="F44">
        <v>49.358606559999998</v>
      </c>
      <c r="G44">
        <v>98.717213119999997</v>
      </c>
      <c r="H44">
        <v>49.358606559999998</v>
      </c>
      <c r="I44">
        <v>6.4142309543108054</v>
      </c>
      <c r="J44">
        <v>7.8284619086216098</v>
      </c>
      <c r="K44">
        <v>1.414230954310804</v>
      </c>
      <c r="L44">
        <v>11.02839611009186</v>
      </c>
      <c r="M44">
        <v>15.23007290289085</v>
      </c>
      <c r="N44">
        <v>0</v>
      </c>
      <c r="O44">
        <v>0</v>
      </c>
      <c r="P44">
        <v>182.26895730000001</v>
      </c>
      <c r="Q44">
        <v>99.984063939999999</v>
      </c>
    </row>
    <row r="45" spans="1:17" x14ac:dyDescent="0.3">
      <c r="A45">
        <v>43</v>
      </c>
      <c r="B45">
        <v>306623</v>
      </c>
      <c r="C45">
        <v>44</v>
      </c>
      <c r="D45" t="s">
        <v>77</v>
      </c>
      <c r="E45" t="s">
        <v>33</v>
      </c>
      <c r="F45">
        <v>17.514344260000001</v>
      </c>
      <c r="G45">
        <v>20.698770490000001</v>
      </c>
      <c r="H45">
        <v>3.1844262300000001</v>
      </c>
      <c r="I45">
        <v>5.5018238869210849</v>
      </c>
      <c r="J45">
        <v>5.5930645936600571</v>
      </c>
      <c r="K45">
        <v>9.1240706738972222E-2</v>
      </c>
      <c r="L45">
        <v>11.02839611009186</v>
      </c>
      <c r="M45">
        <v>15.23007290289085</v>
      </c>
      <c r="N45">
        <v>0</v>
      </c>
      <c r="O45">
        <v>0</v>
      </c>
      <c r="P45">
        <v>174.23462889999999</v>
      </c>
      <c r="Q45">
        <v>182.26895730000001</v>
      </c>
    </row>
    <row r="46" spans="1:17" x14ac:dyDescent="0.3">
      <c r="A46">
        <v>44</v>
      </c>
      <c r="B46">
        <v>307121</v>
      </c>
      <c r="C46">
        <v>45</v>
      </c>
      <c r="D46" t="s">
        <v>78</v>
      </c>
      <c r="E46" t="s">
        <v>36</v>
      </c>
      <c r="F46">
        <v>3.1844262300000001</v>
      </c>
      <c r="G46">
        <v>0</v>
      </c>
      <c r="H46">
        <v>-3.1844262300000001</v>
      </c>
      <c r="I46">
        <v>5.0912407067389722</v>
      </c>
      <c r="J46">
        <v>5</v>
      </c>
      <c r="K46">
        <v>-9.1240706738972222E-2</v>
      </c>
      <c r="L46">
        <v>11.02839611009186</v>
      </c>
      <c r="M46">
        <v>0</v>
      </c>
      <c r="N46">
        <v>3.3026031097825959</v>
      </c>
      <c r="O46">
        <v>174.23462889999999</v>
      </c>
      <c r="P46">
        <v>250.99219969999999</v>
      </c>
      <c r="Q46">
        <v>174.23462889999999</v>
      </c>
    </row>
    <row r="47" spans="1:17" x14ac:dyDescent="0.3">
      <c r="A47">
        <v>45</v>
      </c>
      <c r="B47">
        <v>305155</v>
      </c>
      <c r="C47">
        <v>46</v>
      </c>
      <c r="D47" t="s">
        <v>79</v>
      </c>
      <c r="E47" t="s">
        <v>33</v>
      </c>
      <c r="F47">
        <v>35.028688520000003</v>
      </c>
      <c r="G47">
        <v>35.028688520000003</v>
      </c>
      <c r="H47">
        <v>0</v>
      </c>
      <c r="I47">
        <v>6.0036477738421707</v>
      </c>
      <c r="J47">
        <v>6.0036477738421707</v>
      </c>
      <c r="K47">
        <v>0</v>
      </c>
      <c r="L47">
        <v>11.02839611009186</v>
      </c>
      <c r="M47">
        <v>15.23007290289085</v>
      </c>
      <c r="N47">
        <v>0</v>
      </c>
      <c r="O47">
        <v>0</v>
      </c>
      <c r="P47">
        <v>199.77031769999999</v>
      </c>
      <c r="Q47">
        <v>250.99219969999999</v>
      </c>
    </row>
    <row r="48" spans="1:17" x14ac:dyDescent="0.3">
      <c r="A48">
        <v>46</v>
      </c>
      <c r="B48">
        <v>305156</v>
      </c>
      <c r="C48">
        <v>47</v>
      </c>
      <c r="D48" t="s">
        <v>80</v>
      </c>
      <c r="E48" t="s">
        <v>36</v>
      </c>
      <c r="F48">
        <v>38.213114750000003</v>
      </c>
      <c r="G48">
        <v>0</v>
      </c>
      <c r="H48">
        <v>-38.213114750000003</v>
      </c>
      <c r="I48">
        <v>6.094888480581143</v>
      </c>
      <c r="J48">
        <v>5</v>
      </c>
      <c r="K48">
        <v>-1.094888480581143</v>
      </c>
      <c r="L48">
        <v>11.02839611009186</v>
      </c>
      <c r="M48">
        <v>0</v>
      </c>
      <c r="N48">
        <v>28.044959569123321</v>
      </c>
      <c r="O48">
        <v>123.2967592</v>
      </c>
      <c r="P48">
        <v>123.2967592</v>
      </c>
      <c r="Q48">
        <v>199.77031769999999</v>
      </c>
    </row>
    <row r="49" spans="1:17" x14ac:dyDescent="0.3">
      <c r="A49">
        <v>47</v>
      </c>
      <c r="B49">
        <v>305157</v>
      </c>
      <c r="C49">
        <v>48</v>
      </c>
      <c r="D49" t="s">
        <v>81</v>
      </c>
      <c r="E49" t="s">
        <v>33</v>
      </c>
      <c r="F49">
        <v>103.4938525</v>
      </c>
      <c r="G49">
        <v>141.70696724999999</v>
      </c>
      <c r="H49">
        <v>38.213114749999988</v>
      </c>
      <c r="I49">
        <v>7.9653229697328953</v>
      </c>
      <c r="J49">
        <v>9.0602114503140374</v>
      </c>
      <c r="K49">
        <v>1.0948884805811421</v>
      </c>
      <c r="L49">
        <v>11.02839611009186</v>
      </c>
      <c r="M49">
        <v>15.23007290289085</v>
      </c>
      <c r="N49">
        <v>0</v>
      </c>
      <c r="O49">
        <v>0</v>
      </c>
      <c r="P49">
        <v>244.2469901</v>
      </c>
      <c r="Q49">
        <v>123.2967592</v>
      </c>
    </row>
    <row r="50" spans="1:17" x14ac:dyDescent="0.3">
      <c r="A50">
        <v>48</v>
      </c>
      <c r="B50">
        <v>305159</v>
      </c>
      <c r="C50">
        <v>49</v>
      </c>
      <c r="D50" t="s">
        <v>82</v>
      </c>
      <c r="E50" t="s">
        <v>33</v>
      </c>
      <c r="F50">
        <v>93.94057377</v>
      </c>
      <c r="G50">
        <v>93.94057377</v>
      </c>
      <c r="H50">
        <v>0</v>
      </c>
      <c r="I50">
        <v>7.6916008483698919</v>
      </c>
      <c r="J50">
        <v>7.6916008483698919</v>
      </c>
      <c r="K50">
        <v>0</v>
      </c>
      <c r="L50">
        <v>11.02839611009186</v>
      </c>
      <c r="M50">
        <v>15.23007290289085</v>
      </c>
      <c r="N50">
        <v>0</v>
      </c>
      <c r="O50">
        <v>0</v>
      </c>
      <c r="P50">
        <v>235.90327730000001</v>
      </c>
      <c r="Q50">
        <v>244.2469901</v>
      </c>
    </row>
    <row r="51" spans="1:17" x14ac:dyDescent="0.3">
      <c r="A51">
        <v>49</v>
      </c>
      <c r="B51">
        <v>308186</v>
      </c>
      <c r="C51">
        <v>50</v>
      </c>
      <c r="D51" t="s">
        <v>83</v>
      </c>
      <c r="E51" t="s">
        <v>33</v>
      </c>
      <c r="F51">
        <v>97.125</v>
      </c>
      <c r="G51">
        <v>97.125</v>
      </c>
      <c r="H51">
        <v>0</v>
      </c>
      <c r="I51">
        <v>7.7828415551088632</v>
      </c>
      <c r="J51">
        <v>7.7828415551088632</v>
      </c>
      <c r="K51">
        <v>0</v>
      </c>
      <c r="L51">
        <v>11.02839611009186</v>
      </c>
      <c r="M51">
        <v>15.23007290289085</v>
      </c>
      <c r="N51">
        <v>0</v>
      </c>
      <c r="O51">
        <v>0</v>
      </c>
      <c r="P51">
        <v>316.16972520000002</v>
      </c>
      <c r="Q51">
        <v>235.90327730000001</v>
      </c>
    </row>
    <row r="52" spans="1:17" x14ac:dyDescent="0.3">
      <c r="A52">
        <v>50</v>
      </c>
      <c r="B52">
        <v>305284</v>
      </c>
      <c r="C52">
        <v>51</v>
      </c>
      <c r="D52" t="s">
        <v>84</v>
      </c>
      <c r="E52" t="s">
        <v>33</v>
      </c>
      <c r="F52">
        <v>101.9016393</v>
      </c>
      <c r="G52">
        <v>101.9016393</v>
      </c>
      <c r="H52">
        <v>0</v>
      </c>
      <c r="I52">
        <v>7.9197026139279743</v>
      </c>
      <c r="J52">
        <v>7.9197026139279743</v>
      </c>
      <c r="K52">
        <v>0</v>
      </c>
      <c r="L52">
        <v>11.02839611009186</v>
      </c>
      <c r="M52">
        <v>15.23007290289085</v>
      </c>
      <c r="N52">
        <v>0</v>
      </c>
      <c r="O52">
        <v>0</v>
      </c>
      <c r="P52">
        <v>104.520253</v>
      </c>
      <c r="Q52">
        <v>316.16972520000002</v>
      </c>
    </row>
    <row r="53" spans="1:17" x14ac:dyDescent="0.3">
      <c r="A53">
        <v>51</v>
      </c>
      <c r="B53">
        <v>308187</v>
      </c>
      <c r="C53">
        <v>52</v>
      </c>
      <c r="D53" t="s">
        <v>85</v>
      </c>
      <c r="E53" t="s">
        <v>36</v>
      </c>
      <c r="F53">
        <v>23.883196720000001</v>
      </c>
      <c r="G53">
        <v>0</v>
      </c>
      <c r="H53">
        <v>-23.883196720000001</v>
      </c>
      <c r="I53">
        <v>5.6843053003990294</v>
      </c>
      <c r="J53">
        <v>5</v>
      </c>
      <c r="K53">
        <v>-0.68430530039902937</v>
      </c>
      <c r="L53">
        <v>11.02839611009186</v>
      </c>
      <c r="M53">
        <v>0</v>
      </c>
      <c r="N53">
        <v>14.37636702546569</v>
      </c>
      <c r="O53">
        <v>101.1267331</v>
      </c>
      <c r="P53">
        <v>101.1267331</v>
      </c>
      <c r="Q53">
        <v>104.520253</v>
      </c>
    </row>
    <row r="54" spans="1:17" x14ac:dyDescent="0.3">
      <c r="A54">
        <v>52</v>
      </c>
      <c r="B54">
        <v>305286</v>
      </c>
      <c r="C54">
        <v>53</v>
      </c>
      <c r="D54" t="s">
        <v>86</v>
      </c>
      <c r="E54" t="s">
        <v>33</v>
      </c>
      <c r="F54">
        <v>116.2315574</v>
      </c>
      <c r="G54">
        <v>140.11475411999999</v>
      </c>
      <c r="H54">
        <v>23.88319671999999</v>
      </c>
      <c r="I54">
        <v>8.3302857961157386</v>
      </c>
      <c r="J54">
        <v>9.0145910965147689</v>
      </c>
      <c r="K54">
        <v>0.68430530039903026</v>
      </c>
      <c r="L54">
        <v>11.02839611009186</v>
      </c>
      <c r="M54">
        <v>15.23007290289085</v>
      </c>
      <c r="N54">
        <v>0</v>
      </c>
      <c r="O54">
        <v>0</v>
      </c>
      <c r="P54">
        <v>0</v>
      </c>
      <c r="Q54">
        <v>101.1267331</v>
      </c>
    </row>
    <row r="56" spans="1:17" x14ac:dyDescent="0.3">
      <c r="P56">
        <f>SUM(P2:P54)</f>
        <v>10548.460956340003</v>
      </c>
    </row>
    <row r="57" spans="1:17" x14ac:dyDescent="0.3">
      <c r="P57">
        <f>P56/35</f>
        <v>301.38459875257149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8"/>
  <sheetViews>
    <sheetView topLeftCell="G26" workbookViewId="0">
      <selection activeCell="P39" sqref="P39"/>
    </sheetView>
  </sheetViews>
  <sheetFormatPr defaultRowHeight="14.4" x14ac:dyDescent="0.3"/>
  <cols>
    <col min="3" max="3" width="13.77734375" bestFit="1" customWidth="1"/>
    <col min="4" max="4" width="29.33203125" bestFit="1" customWidth="1"/>
    <col min="5" max="5" width="6" bestFit="1" customWidth="1"/>
    <col min="10" max="10" width="19.77734375" bestFit="1" customWidth="1"/>
    <col min="11" max="11" width="17.5546875" bestFit="1" customWidth="1"/>
    <col min="16" max="16" width="15.5546875" bestFit="1" customWidth="1"/>
    <col min="17" max="17" width="18.109375" bestFit="1" customWidth="1"/>
  </cols>
  <sheetData>
    <row r="1" spans="1:18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2"/>
    </row>
    <row r="2" spans="1:18" x14ac:dyDescent="0.3">
      <c r="A2">
        <v>0</v>
      </c>
      <c r="B2">
        <v>901736</v>
      </c>
      <c r="C2">
        <v>1</v>
      </c>
      <c r="D2" t="s">
        <v>32</v>
      </c>
      <c r="E2" t="s">
        <v>33</v>
      </c>
      <c r="F2">
        <v>203.80327869999999</v>
      </c>
      <c r="G2">
        <v>203.80327869999999</v>
      </c>
      <c r="H2">
        <v>0</v>
      </c>
      <c r="I2">
        <v>10.839405230721161</v>
      </c>
      <c r="J2">
        <v>10.839405230721161</v>
      </c>
      <c r="K2">
        <v>0</v>
      </c>
      <c r="L2">
        <v>11.02839611009186</v>
      </c>
      <c r="M2">
        <v>15.23007290289085</v>
      </c>
      <c r="N2">
        <v>0</v>
      </c>
      <c r="O2">
        <v>0</v>
      </c>
      <c r="P2">
        <v>323.11194710000001</v>
      </c>
      <c r="Q2">
        <v>0</v>
      </c>
    </row>
    <row r="3" spans="1:18" x14ac:dyDescent="0.3">
      <c r="A3">
        <v>1</v>
      </c>
      <c r="B3">
        <v>303710</v>
      </c>
      <c r="C3">
        <v>2</v>
      </c>
      <c r="D3" t="s">
        <v>34</v>
      </c>
      <c r="E3" t="s">
        <v>33</v>
      </c>
      <c r="F3">
        <v>35.028688520000003</v>
      </c>
      <c r="G3">
        <v>35.028688520000003</v>
      </c>
      <c r="H3">
        <v>0</v>
      </c>
      <c r="I3">
        <v>6.0036477738421707</v>
      </c>
      <c r="J3">
        <v>6.0036477738421707</v>
      </c>
      <c r="K3">
        <v>0</v>
      </c>
      <c r="L3">
        <v>11.02839611009186</v>
      </c>
      <c r="M3">
        <v>15.23007290289085</v>
      </c>
      <c r="N3">
        <v>0</v>
      </c>
      <c r="O3">
        <v>0</v>
      </c>
      <c r="P3">
        <v>360.43338410000001</v>
      </c>
      <c r="Q3">
        <v>323.11194710000001</v>
      </c>
    </row>
    <row r="4" spans="1:18" x14ac:dyDescent="0.3">
      <c r="A4">
        <v>3</v>
      </c>
      <c r="B4">
        <v>303712</v>
      </c>
      <c r="C4">
        <v>4</v>
      </c>
      <c r="D4" t="s">
        <v>37</v>
      </c>
      <c r="E4" t="s">
        <v>33</v>
      </c>
      <c r="F4">
        <v>74.834016390000002</v>
      </c>
      <c r="G4">
        <v>85.979508190000004</v>
      </c>
      <c r="H4">
        <v>11.1454918</v>
      </c>
      <c r="I4">
        <v>7.1441566079360603</v>
      </c>
      <c r="J4">
        <v>7.4634990813792008</v>
      </c>
      <c r="K4">
        <v>0.31934247344314048</v>
      </c>
      <c r="L4">
        <v>11.02839611009186</v>
      </c>
      <c r="M4">
        <v>15.23007290289085</v>
      </c>
      <c r="N4">
        <v>0</v>
      </c>
      <c r="O4">
        <v>0</v>
      </c>
      <c r="P4">
        <v>292.94534119999997</v>
      </c>
      <c r="Q4">
        <v>240.77705879999999</v>
      </c>
    </row>
    <row r="5" spans="1:18" x14ac:dyDescent="0.3">
      <c r="A5">
        <v>4</v>
      </c>
      <c r="B5">
        <v>303713</v>
      </c>
      <c r="C5">
        <v>5</v>
      </c>
      <c r="D5" t="s">
        <v>38</v>
      </c>
      <c r="E5" t="s">
        <v>33</v>
      </c>
      <c r="F5">
        <v>294.55942620000002</v>
      </c>
      <c r="G5">
        <v>294.55942620000002</v>
      </c>
      <c r="H5">
        <v>0</v>
      </c>
      <c r="I5">
        <v>13.439765371206001</v>
      </c>
      <c r="J5">
        <v>13.439765371206001</v>
      </c>
      <c r="K5">
        <v>-1.7763568394002501E-15</v>
      </c>
      <c r="L5">
        <v>11.02839611009186</v>
      </c>
      <c r="M5">
        <v>15.23007290289085</v>
      </c>
      <c r="N5">
        <v>0</v>
      </c>
      <c r="O5">
        <v>0</v>
      </c>
      <c r="P5">
        <v>243.12492470000001</v>
      </c>
      <c r="Q5">
        <v>292.94534119999997</v>
      </c>
    </row>
    <row r="6" spans="1:18" x14ac:dyDescent="0.3">
      <c r="A6">
        <v>5</v>
      </c>
      <c r="B6">
        <v>303714</v>
      </c>
      <c r="C6">
        <v>6</v>
      </c>
      <c r="D6" t="s">
        <v>39</v>
      </c>
      <c r="E6" t="s">
        <v>33</v>
      </c>
      <c r="F6">
        <v>39.805327869999999</v>
      </c>
      <c r="G6">
        <v>39.805327869999999</v>
      </c>
      <c r="H6">
        <v>0</v>
      </c>
      <c r="I6">
        <v>6.1405088340938896</v>
      </c>
      <c r="J6">
        <v>6.1405088340938896</v>
      </c>
      <c r="K6">
        <v>0</v>
      </c>
      <c r="L6">
        <v>11.02839611009186</v>
      </c>
      <c r="M6">
        <v>15.23007290289085</v>
      </c>
      <c r="N6">
        <v>0</v>
      </c>
      <c r="O6">
        <v>0</v>
      </c>
      <c r="P6">
        <v>218.6916086</v>
      </c>
      <c r="Q6">
        <v>243.12492470000001</v>
      </c>
    </row>
    <row r="7" spans="1:18" x14ac:dyDescent="0.3">
      <c r="A7">
        <v>7</v>
      </c>
      <c r="B7">
        <v>306322</v>
      </c>
      <c r="C7">
        <v>8</v>
      </c>
      <c r="D7" t="s">
        <v>41</v>
      </c>
      <c r="E7" t="s">
        <v>33</v>
      </c>
      <c r="F7">
        <v>44.581967210000002</v>
      </c>
      <c r="G7">
        <v>60.50409836</v>
      </c>
      <c r="H7">
        <v>15.92213115</v>
      </c>
      <c r="I7">
        <v>6.2773698940590874</v>
      </c>
      <c r="J7">
        <v>6.7335734277539467</v>
      </c>
      <c r="K7">
        <v>0.45620353369485928</v>
      </c>
      <c r="L7">
        <v>11.02839611009186</v>
      </c>
      <c r="M7">
        <v>15.23007290289085</v>
      </c>
      <c r="N7">
        <v>0</v>
      </c>
      <c r="O7">
        <v>0</v>
      </c>
      <c r="P7">
        <v>170.1646203</v>
      </c>
      <c r="Q7">
        <v>117.3459036</v>
      </c>
    </row>
    <row r="8" spans="1:18" x14ac:dyDescent="0.3">
      <c r="A8">
        <v>8</v>
      </c>
      <c r="B8">
        <v>303717</v>
      </c>
      <c r="C8">
        <v>9</v>
      </c>
      <c r="D8" t="s">
        <v>42</v>
      </c>
      <c r="E8" t="s">
        <v>33</v>
      </c>
      <c r="F8">
        <v>27.067622950000001</v>
      </c>
      <c r="G8">
        <v>27.067622950000001</v>
      </c>
      <c r="H8">
        <v>0</v>
      </c>
      <c r="I8">
        <v>5.7755460071380016</v>
      </c>
      <c r="J8">
        <v>5.7755460071380016</v>
      </c>
      <c r="K8">
        <v>0</v>
      </c>
      <c r="L8">
        <v>11.02839611009186</v>
      </c>
      <c r="M8">
        <v>15.23007290289085</v>
      </c>
      <c r="N8">
        <v>0</v>
      </c>
      <c r="O8">
        <v>0</v>
      </c>
      <c r="P8">
        <v>194.21300890000001</v>
      </c>
      <c r="Q8">
        <v>170.1646203</v>
      </c>
    </row>
    <row r="9" spans="1:18" x14ac:dyDescent="0.3">
      <c r="A9">
        <v>10</v>
      </c>
      <c r="B9">
        <v>308136</v>
      </c>
      <c r="C9">
        <v>11</v>
      </c>
      <c r="D9" t="s">
        <v>44</v>
      </c>
      <c r="E9" t="s">
        <v>33</v>
      </c>
      <c r="F9">
        <v>240.42418029999999</v>
      </c>
      <c r="G9">
        <v>245.20081964400001</v>
      </c>
      <c r="H9">
        <v>4.7766393439999888</v>
      </c>
      <c r="I9">
        <v>11.888673356929999</v>
      </c>
      <c r="J9">
        <v>12.0255344170098</v>
      </c>
      <c r="K9">
        <v>0.1368610600798057</v>
      </c>
      <c r="L9">
        <v>11.02839611009186</v>
      </c>
      <c r="M9">
        <v>15.23007290289085</v>
      </c>
      <c r="N9">
        <v>0</v>
      </c>
      <c r="O9">
        <v>0</v>
      </c>
      <c r="P9">
        <v>310.22546720000003</v>
      </c>
      <c r="Q9">
        <v>191.59637810000001</v>
      </c>
    </row>
    <row r="10" spans="1:18" x14ac:dyDescent="0.3">
      <c r="A10">
        <v>12</v>
      </c>
      <c r="B10">
        <v>303722</v>
      </c>
      <c r="C10">
        <v>13</v>
      </c>
      <c r="D10" t="s">
        <v>46</v>
      </c>
      <c r="E10" t="s">
        <v>33</v>
      </c>
      <c r="F10">
        <v>19.106557380000002</v>
      </c>
      <c r="G10">
        <v>38.213114760000003</v>
      </c>
      <c r="H10">
        <v>19.106557380000002</v>
      </c>
      <c r="I10">
        <v>5.5474442404338324</v>
      </c>
      <c r="J10">
        <v>6.094888480867664</v>
      </c>
      <c r="K10">
        <v>0.54744424043383155</v>
      </c>
      <c r="L10">
        <v>11.02839611009186</v>
      </c>
      <c r="M10">
        <v>15.23007290289085</v>
      </c>
      <c r="N10">
        <v>0</v>
      </c>
      <c r="O10">
        <v>0</v>
      </c>
      <c r="P10">
        <v>199.09886739999999</v>
      </c>
      <c r="Q10">
        <v>297.10770330000003</v>
      </c>
    </row>
    <row r="11" spans="1:18" x14ac:dyDescent="0.3">
      <c r="A11">
        <v>14</v>
      </c>
      <c r="B11">
        <v>303724</v>
      </c>
      <c r="C11">
        <v>15</v>
      </c>
      <c r="D11" t="s">
        <v>48</v>
      </c>
      <c r="E11" t="s">
        <v>33</v>
      </c>
      <c r="F11">
        <v>3.1844262300000001</v>
      </c>
      <c r="G11">
        <v>23.883196719000001</v>
      </c>
      <c r="H11">
        <v>20.698770489000001</v>
      </c>
      <c r="I11">
        <v>5.0912407067389722</v>
      </c>
      <c r="J11">
        <v>5.6843053003703767</v>
      </c>
      <c r="K11">
        <v>0.59306459363140451</v>
      </c>
      <c r="L11">
        <v>11.02839611009186</v>
      </c>
      <c r="M11">
        <v>15.23007290289085</v>
      </c>
      <c r="N11">
        <v>0</v>
      </c>
      <c r="O11">
        <v>0</v>
      </c>
      <c r="P11">
        <v>96.444100759999998</v>
      </c>
      <c r="Q11">
        <v>170.7709989</v>
      </c>
    </row>
    <row r="12" spans="1:18" x14ac:dyDescent="0.3">
      <c r="A12">
        <v>16</v>
      </c>
      <c r="B12">
        <v>303726</v>
      </c>
      <c r="C12">
        <v>17</v>
      </c>
      <c r="D12" t="s">
        <v>50</v>
      </c>
      <c r="E12" t="s">
        <v>33</v>
      </c>
      <c r="F12">
        <v>366.2090164</v>
      </c>
      <c r="G12">
        <v>377.3545082</v>
      </c>
      <c r="H12">
        <v>11.1454918</v>
      </c>
      <c r="I12">
        <v>15.49268127354917</v>
      </c>
      <c r="J12">
        <v>15.81202374699232</v>
      </c>
      <c r="K12">
        <v>0.31934247344314137</v>
      </c>
      <c r="L12">
        <v>11.02839611009186</v>
      </c>
      <c r="M12">
        <v>15.23007290289085</v>
      </c>
      <c r="N12">
        <v>0</v>
      </c>
      <c r="O12">
        <v>0</v>
      </c>
      <c r="P12">
        <v>81.699255440000002</v>
      </c>
      <c r="Q12">
        <v>162.72000449999999</v>
      </c>
    </row>
    <row r="13" spans="1:18" x14ac:dyDescent="0.3">
      <c r="A13">
        <v>18</v>
      </c>
      <c r="B13">
        <v>303728</v>
      </c>
      <c r="C13">
        <v>19</v>
      </c>
      <c r="D13" t="s">
        <v>52</v>
      </c>
      <c r="E13" t="s">
        <v>33</v>
      </c>
      <c r="F13">
        <v>4.7766393440000003</v>
      </c>
      <c r="G13">
        <v>14.329918033</v>
      </c>
      <c r="H13">
        <v>9.5532786890000025</v>
      </c>
      <c r="I13">
        <v>5.1368610600798057</v>
      </c>
      <c r="J13">
        <v>5.4105831802680697</v>
      </c>
      <c r="K13">
        <v>0.27372212018826397</v>
      </c>
      <c r="L13">
        <v>11.02839611009186</v>
      </c>
      <c r="M13">
        <v>15.23007290289085</v>
      </c>
      <c r="N13">
        <v>0</v>
      </c>
      <c r="O13">
        <v>0</v>
      </c>
      <c r="P13">
        <v>120.7328153</v>
      </c>
      <c r="Q13">
        <v>164.48093270000001</v>
      </c>
    </row>
    <row r="14" spans="1:18" x14ac:dyDescent="0.3">
      <c r="A14">
        <v>20</v>
      </c>
      <c r="B14">
        <v>303730</v>
      </c>
      <c r="C14">
        <v>21</v>
      </c>
      <c r="D14" t="s">
        <v>54</v>
      </c>
      <c r="E14" t="s">
        <v>33</v>
      </c>
      <c r="F14">
        <v>28.659836070000001</v>
      </c>
      <c r="G14">
        <v>28.659836070000001</v>
      </c>
      <c r="H14">
        <v>0</v>
      </c>
      <c r="I14">
        <v>5.8211663606507473</v>
      </c>
      <c r="J14">
        <v>5.8211663606507473</v>
      </c>
      <c r="K14">
        <v>0</v>
      </c>
      <c r="L14">
        <v>11.02839611009186</v>
      </c>
      <c r="M14">
        <v>15.23007290289085</v>
      </c>
      <c r="N14">
        <v>0</v>
      </c>
      <c r="O14">
        <v>0</v>
      </c>
      <c r="P14">
        <v>168.0147666</v>
      </c>
      <c r="Q14">
        <v>207.58367480000001</v>
      </c>
    </row>
    <row r="15" spans="1:18" x14ac:dyDescent="0.3">
      <c r="A15">
        <v>21</v>
      </c>
      <c r="B15">
        <v>303731</v>
      </c>
      <c r="C15">
        <v>22</v>
      </c>
      <c r="D15" t="s">
        <v>55</v>
      </c>
      <c r="E15" t="s">
        <v>33</v>
      </c>
      <c r="F15">
        <v>30.25204918</v>
      </c>
      <c r="G15">
        <v>50.950819670000001</v>
      </c>
      <c r="H15">
        <v>20.698770490000001</v>
      </c>
      <c r="I15">
        <v>5.8667867138769729</v>
      </c>
      <c r="J15">
        <v>6.4598513075370301</v>
      </c>
      <c r="K15">
        <v>0.59306459366005715</v>
      </c>
      <c r="L15">
        <v>11.02839611009186</v>
      </c>
      <c r="M15">
        <v>15.23007290289085</v>
      </c>
      <c r="N15">
        <v>0</v>
      </c>
      <c r="O15">
        <v>0</v>
      </c>
      <c r="P15">
        <v>165.94765860000001</v>
      </c>
      <c r="Q15">
        <v>168.0147666</v>
      </c>
    </row>
    <row r="16" spans="1:18" x14ac:dyDescent="0.3">
      <c r="A16">
        <v>23</v>
      </c>
      <c r="B16">
        <v>303733</v>
      </c>
      <c r="C16">
        <v>24</v>
      </c>
      <c r="D16" t="s">
        <v>57</v>
      </c>
      <c r="E16" t="s">
        <v>33</v>
      </c>
      <c r="F16">
        <v>19.106557380000002</v>
      </c>
      <c r="G16">
        <v>41.397540990000003</v>
      </c>
      <c r="H16">
        <v>22.290983610000001</v>
      </c>
      <c r="I16">
        <v>5.5474442404338324</v>
      </c>
      <c r="J16">
        <v>6.1861291876066362</v>
      </c>
      <c r="K16">
        <v>0.63868494717280377</v>
      </c>
      <c r="L16">
        <v>11.02839611009186</v>
      </c>
      <c r="M16">
        <v>15.23007290289085</v>
      </c>
      <c r="N16">
        <v>0</v>
      </c>
      <c r="O16">
        <v>0</v>
      </c>
      <c r="P16">
        <v>118.5546473</v>
      </c>
      <c r="Q16">
        <v>244.73398449999999</v>
      </c>
    </row>
    <row r="17" spans="1:17" x14ac:dyDescent="0.3">
      <c r="A17">
        <v>25</v>
      </c>
      <c r="B17">
        <v>303735</v>
      </c>
      <c r="C17">
        <v>26</v>
      </c>
      <c r="D17" t="s">
        <v>59</v>
      </c>
      <c r="E17" t="s">
        <v>33</v>
      </c>
      <c r="F17">
        <v>46.174180329999999</v>
      </c>
      <c r="G17">
        <v>46.174180329999999</v>
      </c>
      <c r="H17">
        <v>0</v>
      </c>
      <c r="I17">
        <v>6.3229902475718331</v>
      </c>
      <c r="J17">
        <v>6.3229902475718331</v>
      </c>
      <c r="K17">
        <v>0</v>
      </c>
      <c r="L17">
        <v>11.02839611009186</v>
      </c>
      <c r="M17">
        <v>15.23007290289085</v>
      </c>
      <c r="N17">
        <v>0</v>
      </c>
      <c r="O17">
        <v>0</v>
      </c>
      <c r="P17">
        <v>162.64885949999999</v>
      </c>
      <c r="Q17">
        <v>209.00191190000001</v>
      </c>
    </row>
    <row r="18" spans="1:17" x14ac:dyDescent="0.3">
      <c r="A18">
        <v>26</v>
      </c>
      <c r="B18">
        <v>303736</v>
      </c>
      <c r="C18">
        <v>27</v>
      </c>
      <c r="D18" t="s">
        <v>60</v>
      </c>
      <c r="E18" t="s">
        <v>33</v>
      </c>
      <c r="F18">
        <v>81.202868850000002</v>
      </c>
      <c r="G18">
        <v>81.202868850000002</v>
      </c>
      <c r="H18">
        <v>0</v>
      </c>
      <c r="I18">
        <v>7.326638021414003</v>
      </c>
      <c r="J18">
        <v>7.326638021414003</v>
      </c>
      <c r="K18">
        <v>0</v>
      </c>
      <c r="L18">
        <v>11.02839611009186</v>
      </c>
      <c r="M18">
        <v>15.23007290289085</v>
      </c>
      <c r="N18">
        <v>0</v>
      </c>
      <c r="O18">
        <v>0</v>
      </c>
      <c r="P18">
        <v>255.6091552</v>
      </c>
      <c r="Q18">
        <v>162.64885949999999</v>
      </c>
    </row>
    <row r="19" spans="1:17" x14ac:dyDescent="0.3">
      <c r="A19">
        <v>27</v>
      </c>
      <c r="B19">
        <v>303737</v>
      </c>
      <c r="C19">
        <v>28</v>
      </c>
      <c r="D19" t="s">
        <v>61</v>
      </c>
      <c r="E19" t="s">
        <v>33</v>
      </c>
      <c r="F19">
        <v>65.280737700000003</v>
      </c>
      <c r="G19">
        <v>65.280737700000003</v>
      </c>
      <c r="H19">
        <v>0</v>
      </c>
      <c r="I19">
        <v>6.8704344877191437</v>
      </c>
      <c r="J19">
        <v>6.8704344877191437</v>
      </c>
      <c r="K19">
        <v>0</v>
      </c>
      <c r="L19">
        <v>11.02839611009186</v>
      </c>
      <c r="M19">
        <v>15.23007290289085</v>
      </c>
      <c r="N19">
        <v>0</v>
      </c>
      <c r="O19">
        <v>0</v>
      </c>
      <c r="P19">
        <v>246.27858119999999</v>
      </c>
      <c r="Q19">
        <v>255.6091552</v>
      </c>
    </row>
    <row r="20" spans="1:17" x14ac:dyDescent="0.3">
      <c r="A20">
        <v>29</v>
      </c>
      <c r="B20">
        <v>304663</v>
      </c>
      <c r="C20">
        <v>30</v>
      </c>
      <c r="D20" t="s">
        <v>63</v>
      </c>
      <c r="E20" t="s">
        <v>33</v>
      </c>
      <c r="F20">
        <v>41.397540980000002</v>
      </c>
      <c r="G20">
        <v>58.911885239999997</v>
      </c>
      <c r="H20">
        <v>17.514344260000001</v>
      </c>
      <c r="I20">
        <v>6.1861291873201152</v>
      </c>
      <c r="J20">
        <v>6.6879530742412001</v>
      </c>
      <c r="K20">
        <v>0.50182388692108493</v>
      </c>
      <c r="L20">
        <v>11.02839611009186</v>
      </c>
      <c r="M20">
        <v>15.23007290289085</v>
      </c>
      <c r="N20">
        <v>0</v>
      </c>
      <c r="O20">
        <v>0</v>
      </c>
      <c r="P20">
        <v>178.8285429</v>
      </c>
      <c r="Q20">
        <v>202.9061031</v>
      </c>
    </row>
    <row r="21" spans="1:17" x14ac:dyDescent="0.3">
      <c r="A21">
        <v>30</v>
      </c>
      <c r="B21">
        <v>304664</v>
      </c>
      <c r="C21">
        <v>31</v>
      </c>
      <c r="D21" t="s">
        <v>64</v>
      </c>
      <c r="E21" t="s">
        <v>33</v>
      </c>
      <c r="F21">
        <v>178.3278689</v>
      </c>
      <c r="G21">
        <v>203.80327874</v>
      </c>
      <c r="H21">
        <v>25.475409840000001</v>
      </c>
      <c r="I21">
        <v>10.109479577955479</v>
      </c>
      <c r="J21">
        <v>10.83940523186725</v>
      </c>
      <c r="K21">
        <v>0.729925653911776</v>
      </c>
      <c r="L21">
        <v>11.02839611009186</v>
      </c>
      <c r="M21">
        <v>15.23007290289085</v>
      </c>
      <c r="N21">
        <v>0</v>
      </c>
      <c r="O21">
        <v>0</v>
      </c>
      <c r="P21">
        <v>222.50446009999999</v>
      </c>
      <c r="Q21">
        <v>178.8285429</v>
      </c>
    </row>
    <row r="22" spans="1:17" x14ac:dyDescent="0.3">
      <c r="A22">
        <v>32</v>
      </c>
      <c r="B22">
        <v>306676</v>
      </c>
      <c r="C22">
        <v>33</v>
      </c>
      <c r="D22" t="s">
        <v>66</v>
      </c>
      <c r="E22" t="s">
        <v>33</v>
      </c>
      <c r="F22">
        <v>17.514344260000001</v>
      </c>
      <c r="G22">
        <v>30.25204918</v>
      </c>
      <c r="H22">
        <v>12.737704920000001</v>
      </c>
      <c r="I22">
        <v>5.5018238869210849</v>
      </c>
      <c r="J22">
        <v>5.8667867138769729</v>
      </c>
      <c r="K22">
        <v>0.364962826955888</v>
      </c>
      <c r="L22">
        <v>11.02839611009186</v>
      </c>
      <c r="M22">
        <v>15.23007290289085</v>
      </c>
      <c r="N22">
        <v>0</v>
      </c>
      <c r="O22">
        <v>0</v>
      </c>
      <c r="P22">
        <v>239.0170707</v>
      </c>
      <c r="Q22">
        <v>241.0194118</v>
      </c>
    </row>
    <row r="23" spans="1:17" x14ac:dyDescent="0.3">
      <c r="A23">
        <v>34</v>
      </c>
      <c r="B23">
        <v>306474</v>
      </c>
      <c r="C23">
        <v>35</v>
      </c>
      <c r="D23" t="s">
        <v>68</v>
      </c>
      <c r="E23" t="s">
        <v>33</v>
      </c>
      <c r="F23">
        <v>20.698770490000001</v>
      </c>
      <c r="G23">
        <v>20.698770490000001</v>
      </c>
      <c r="H23">
        <v>0</v>
      </c>
      <c r="I23">
        <v>5.5930645936600571</v>
      </c>
      <c r="J23">
        <v>5.5930645936600571</v>
      </c>
      <c r="K23">
        <v>0</v>
      </c>
      <c r="L23">
        <v>11.02839611009186</v>
      </c>
      <c r="M23">
        <v>15.23007290289085</v>
      </c>
      <c r="N23">
        <v>0</v>
      </c>
      <c r="O23">
        <v>0</v>
      </c>
      <c r="P23">
        <v>320.80642060000002</v>
      </c>
      <c r="Q23">
        <v>245.0173752</v>
      </c>
    </row>
    <row r="24" spans="1:17" x14ac:dyDescent="0.3">
      <c r="A24">
        <v>35</v>
      </c>
      <c r="B24">
        <v>305263</v>
      </c>
      <c r="C24">
        <v>36</v>
      </c>
      <c r="D24" t="s">
        <v>69</v>
      </c>
      <c r="E24" t="s">
        <v>33</v>
      </c>
      <c r="F24">
        <v>33.43647541</v>
      </c>
      <c r="G24">
        <v>58.911885249999997</v>
      </c>
      <c r="H24">
        <v>25.475409840000001</v>
      </c>
      <c r="I24">
        <v>5.9580274206159451</v>
      </c>
      <c r="J24">
        <v>6.687953074527722</v>
      </c>
      <c r="K24">
        <v>0.72992565391177688</v>
      </c>
      <c r="L24">
        <v>11.02839611009186</v>
      </c>
      <c r="M24">
        <v>15.23007290289085</v>
      </c>
      <c r="N24">
        <v>0</v>
      </c>
      <c r="O24">
        <v>0</v>
      </c>
      <c r="P24">
        <v>157.868393</v>
      </c>
      <c r="Q24">
        <v>320.80642060000002</v>
      </c>
    </row>
    <row r="25" spans="1:17" x14ac:dyDescent="0.3">
      <c r="A25">
        <v>37</v>
      </c>
      <c r="B25">
        <v>305265</v>
      </c>
      <c r="C25">
        <v>38</v>
      </c>
      <c r="D25" t="s">
        <v>71</v>
      </c>
      <c r="E25" t="s">
        <v>33</v>
      </c>
      <c r="F25">
        <v>60.50409836</v>
      </c>
      <c r="G25">
        <v>60.50409836</v>
      </c>
      <c r="H25">
        <v>0</v>
      </c>
      <c r="I25">
        <v>6.7335734277539467</v>
      </c>
      <c r="J25">
        <v>6.7335734277539467</v>
      </c>
      <c r="K25">
        <v>0</v>
      </c>
      <c r="L25">
        <v>11.02839611009186</v>
      </c>
      <c r="M25">
        <v>15.23007290289085</v>
      </c>
      <c r="N25">
        <v>0</v>
      </c>
      <c r="O25">
        <v>0</v>
      </c>
      <c r="P25">
        <v>234.51399240000001</v>
      </c>
      <c r="Q25">
        <v>166.6946796</v>
      </c>
    </row>
    <row r="26" spans="1:17" x14ac:dyDescent="0.3">
      <c r="A26">
        <v>38</v>
      </c>
      <c r="B26">
        <v>306476</v>
      </c>
      <c r="C26">
        <v>39</v>
      </c>
      <c r="D26" t="s">
        <v>72</v>
      </c>
      <c r="E26" t="s">
        <v>33</v>
      </c>
      <c r="F26">
        <v>114.6393443</v>
      </c>
      <c r="G26">
        <v>114.6393443</v>
      </c>
      <c r="H26">
        <v>0</v>
      </c>
      <c r="I26">
        <v>8.2846654431760367</v>
      </c>
      <c r="J26">
        <v>8.2846654431760367</v>
      </c>
      <c r="K26">
        <v>0</v>
      </c>
      <c r="L26">
        <v>11.02839611009186</v>
      </c>
      <c r="M26">
        <v>15.23007290289085</v>
      </c>
      <c r="N26">
        <v>0</v>
      </c>
      <c r="O26">
        <v>0</v>
      </c>
      <c r="P26">
        <v>269.10317950000001</v>
      </c>
      <c r="Q26">
        <v>234.51399240000001</v>
      </c>
    </row>
    <row r="27" spans="1:17" x14ac:dyDescent="0.3">
      <c r="A27">
        <v>39</v>
      </c>
      <c r="B27">
        <v>307114</v>
      </c>
      <c r="C27">
        <v>40</v>
      </c>
      <c r="D27" t="s">
        <v>73</v>
      </c>
      <c r="E27" t="s">
        <v>33</v>
      </c>
      <c r="F27">
        <v>74.834016390000002</v>
      </c>
      <c r="G27">
        <v>74.834016390000002</v>
      </c>
      <c r="H27">
        <v>0</v>
      </c>
      <c r="I27">
        <v>7.1441566079360603</v>
      </c>
      <c r="J27">
        <v>7.1441566079360603</v>
      </c>
      <c r="K27">
        <v>0</v>
      </c>
      <c r="L27">
        <v>11.02839611009186</v>
      </c>
      <c r="M27">
        <v>15.23007290289085</v>
      </c>
      <c r="N27">
        <v>0</v>
      </c>
      <c r="O27">
        <v>0</v>
      </c>
      <c r="P27">
        <v>142.2383088</v>
      </c>
      <c r="Q27">
        <v>269.10317950000001</v>
      </c>
    </row>
    <row r="28" spans="1:17" x14ac:dyDescent="0.3">
      <c r="A28">
        <v>40</v>
      </c>
      <c r="B28">
        <v>306622</v>
      </c>
      <c r="C28">
        <v>41</v>
      </c>
      <c r="D28" t="s">
        <v>74</v>
      </c>
      <c r="E28" t="s">
        <v>33</v>
      </c>
      <c r="F28">
        <v>89.163934429999998</v>
      </c>
      <c r="G28">
        <v>89.163934429999998</v>
      </c>
      <c r="H28">
        <v>0</v>
      </c>
      <c r="I28">
        <v>7.554739788404695</v>
      </c>
      <c r="J28">
        <v>7.554739788404695</v>
      </c>
      <c r="K28">
        <v>0</v>
      </c>
      <c r="L28">
        <v>11.02839611009186</v>
      </c>
      <c r="M28">
        <v>15.23007290289085</v>
      </c>
      <c r="N28">
        <v>0</v>
      </c>
      <c r="O28">
        <v>0</v>
      </c>
      <c r="P28">
        <v>161.3715527</v>
      </c>
      <c r="Q28">
        <v>142.2383088</v>
      </c>
    </row>
    <row r="29" spans="1:17" x14ac:dyDescent="0.3">
      <c r="A29">
        <v>42</v>
      </c>
      <c r="B29">
        <v>305272</v>
      </c>
      <c r="C29">
        <v>43</v>
      </c>
      <c r="D29" t="s">
        <v>76</v>
      </c>
      <c r="E29" t="s">
        <v>33</v>
      </c>
      <c r="F29">
        <v>49.358606559999998</v>
      </c>
      <c r="G29">
        <v>98.717213119999997</v>
      </c>
      <c r="H29">
        <v>49.358606559999998</v>
      </c>
      <c r="I29">
        <v>6.4142309543108054</v>
      </c>
      <c r="J29">
        <v>7.8284619086216098</v>
      </c>
      <c r="K29">
        <v>1.414230954310804</v>
      </c>
      <c r="L29">
        <v>11.02839611009186</v>
      </c>
      <c r="M29">
        <v>15.23007290289085</v>
      </c>
      <c r="N29">
        <v>0</v>
      </c>
      <c r="O29">
        <v>0</v>
      </c>
      <c r="P29">
        <v>182.26895730000001</v>
      </c>
      <c r="Q29">
        <v>99.984063939999999</v>
      </c>
    </row>
    <row r="30" spans="1:17" x14ac:dyDescent="0.3">
      <c r="A30">
        <v>43</v>
      </c>
      <c r="B30">
        <v>306623</v>
      </c>
      <c r="C30">
        <v>44</v>
      </c>
      <c r="D30" t="s">
        <v>77</v>
      </c>
      <c r="E30" t="s">
        <v>33</v>
      </c>
      <c r="F30">
        <v>17.514344260000001</v>
      </c>
      <c r="G30">
        <v>20.698770490000001</v>
      </c>
      <c r="H30">
        <v>3.1844262300000001</v>
      </c>
      <c r="I30">
        <v>5.5018238869210849</v>
      </c>
      <c r="J30">
        <v>5.5930645936600571</v>
      </c>
      <c r="K30">
        <v>9.1240706738972222E-2</v>
      </c>
      <c r="L30">
        <v>11.02839611009186</v>
      </c>
      <c r="M30">
        <v>15.23007290289085</v>
      </c>
      <c r="N30">
        <v>0</v>
      </c>
      <c r="O30">
        <v>0</v>
      </c>
      <c r="P30">
        <v>174.23462889999999</v>
      </c>
      <c r="Q30">
        <v>182.26895730000001</v>
      </c>
    </row>
    <row r="31" spans="1:17" x14ac:dyDescent="0.3">
      <c r="A31">
        <v>45</v>
      </c>
      <c r="B31">
        <v>305155</v>
      </c>
      <c r="C31">
        <v>46</v>
      </c>
      <c r="D31" t="s">
        <v>79</v>
      </c>
      <c r="E31" t="s">
        <v>33</v>
      </c>
      <c r="F31">
        <v>35.028688520000003</v>
      </c>
      <c r="G31">
        <v>35.028688520000003</v>
      </c>
      <c r="H31">
        <v>0</v>
      </c>
      <c r="I31">
        <v>6.0036477738421707</v>
      </c>
      <c r="J31">
        <v>6.0036477738421707</v>
      </c>
      <c r="K31">
        <v>0</v>
      </c>
      <c r="L31">
        <v>11.02839611009186</v>
      </c>
      <c r="M31">
        <v>15.23007290289085</v>
      </c>
      <c r="N31">
        <v>0</v>
      </c>
      <c r="O31">
        <v>0</v>
      </c>
      <c r="P31">
        <v>199.77031769999999</v>
      </c>
      <c r="Q31">
        <v>250.99219969999999</v>
      </c>
    </row>
    <row r="32" spans="1:17" x14ac:dyDescent="0.3">
      <c r="A32">
        <v>47</v>
      </c>
      <c r="B32">
        <v>305157</v>
      </c>
      <c r="C32">
        <v>48</v>
      </c>
      <c r="D32" t="s">
        <v>81</v>
      </c>
      <c r="E32" t="s">
        <v>33</v>
      </c>
      <c r="F32">
        <v>103.4938525</v>
      </c>
      <c r="G32">
        <v>141.70696724999999</v>
      </c>
      <c r="H32">
        <v>38.213114749999988</v>
      </c>
      <c r="I32">
        <v>7.9653229697328953</v>
      </c>
      <c r="J32">
        <v>9.0602114503140374</v>
      </c>
      <c r="K32">
        <v>1.0948884805811421</v>
      </c>
      <c r="L32">
        <v>11.02839611009186</v>
      </c>
      <c r="M32">
        <v>15.23007290289085</v>
      </c>
      <c r="N32">
        <v>0</v>
      </c>
      <c r="O32">
        <v>0</v>
      </c>
      <c r="P32">
        <v>244.2469901</v>
      </c>
      <c r="Q32">
        <v>123.2967592</v>
      </c>
    </row>
    <row r="33" spans="1:17" x14ac:dyDescent="0.3">
      <c r="A33">
        <v>48</v>
      </c>
      <c r="B33">
        <v>305159</v>
      </c>
      <c r="C33">
        <v>49</v>
      </c>
      <c r="D33" t="s">
        <v>82</v>
      </c>
      <c r="E33" t="s">
        <v>33</v>
      </c>
      <c r="F33">
        <v>93.94057377</v>
      </c>
      <c r="G33">
        <v>93.94057377</v>
      </c>
      <c r="H33">
        <v>0</v>
      </c>
      <c r="I33">
        <v>7.6916008483698919</v>
      </c>
      <c r="J33">
        <v>7.6916008483698919</v>
      </c>
      <c r="K33">
        <v>0</v>
      </c>
      <c r="L33">
        <v>11.02839611009186</v>
      </c>
      <c r="M33">
        <v>15.23007290289085</v>
      </c>
      <c r="N33">
        <v>0</v>
      </c>
      <c r="O33">
        <v>0</v>
      </c>
      <c r="P33">
        <v>235.90327730000001</v>
      </c>
      <c r="Q33">
        <v>244.2469901</v>
      </c>
    </row>
    <row r="34" spans="1:17" x14ac:dyDescent="0.3">
      <c r="A34">
        <v>49</v>
      </c>
      <c r="B34">
        <v>308186</v>
      </c>
      <c r="C34">
        <v>50</v>
      </c>
      <c r="D34" t="s">
        <v>83</v>
      </c>
      <c r="E34" t="s">
        <v>33</v>
      </c>
      <c r="F34">
        <v>97.125</v>
      </c>
      <c r="G34">
        <v>97.125</v>
      </c>
      <c r="H34">
        <v>0</v>
      </c>
      <c r="I34">
        <v>7.7828415551088632</v>
      </c>
      <c r="J34">
        <v>7.7828415551088632</v>
      </c>
      <c r="K34">
        <v>0</v>
      </c>
      <c r="L34">
        <v>11.02839611009186</v>
      </c>
      <c r="M34">
        <v>15.23007290289085</v>
      </c>
      <c r="N34">
        <v>0</v>
      </c>
      <c r="O34">
        <v>0</v>
      </c>
      <c r="P34">
        <v>316.16972520000002</v>
      </c>
      <c r="Q34">
        <v>235.90327730000001</v>
      </c>
    </row>
    <row r="35" spans="1:17" x14ac:dyDescent="0.3">
      <c r="A35">
        <v>50</v>
      </c>
      <c r="B35">
        <v>305284</v>
      </c>
      <c r="C35">
        <v>51</v>
      </c>
      <c r="D35" t="s">
        <v>84</v>
      </c>
      <c r="E35" t="s">
        <v>33</v>
      </c>
      <c r="F35">
        <v>101.9016393</v>
      </c>
      <c r="G35">
        <v>101.9016393</v>
      </c>
      <c r="H35">
        <v>0</v>
      </c>
      <c r="I35">
        <v>7.9197026139279743</v>
      </c>
      <c r="J35">
        <v>7.9197026139279743</v>
      </c>
      <c r="K35">
        <v>0</v>
      </c>
      <c r="L35">
        <v>11.02839611009186</v>
      </c>
      <c r="M35">
        <v>15.23007290289085</v>
      </c>
      <c r="N35">
        <v>0</v>
      </c>
      <c r="O35">
        <v>0</v>
      </c>
      <c r="P35">
        <v>104.520253</v>
      </c>
      <c r="Q35">
        <v>316.16972520000002</v>
      </c>
    </row>
    <row r="36" spans="1:17" x14ac:dyDescent="0.3">
      <c r="A36">
        <v>52</v>
      </c>
      <c r="B36">
        <v>305286</v>
      </c>
      <c r="C36">
        <v>53</v>
      </c>
      <c r="D36" t="s">
        <v>86</v>
      </c>
      <c r="E36" t="s">
        <v>33</v>
      </c>
      <c r="F36">
        <v>116.2315574</v>
      </c>
      <c r="G36">
        <v>140.11475411999999</v>
      </c>
      <c r="H36">
        <v>23.88319671999999</v>
      </c>
      <c r="I36">
        <v>8.3302857961157386</v>
      </c>
      <c r="J36">
        <v>9.0145910965147689</v>
      </c>
      <c r="K36">
        <v>0.68430530039903026</v>
      </c>
      <c r="L36">
        <v>11.02839611009186</v>
      </c>
      <c r="M36">
        <v>15.23007290289085</v>
      </c>
      <c r="N36">
        <v>0</v>
      </c>
      <c r="O36">
        <v>0</v>
      </c>
      <c r="P36">
        <v>0</v>
      </c>
      <c r="Q36">
        <v>101.1267331</v>
      </c>
    </row>
    <row r="38" spans="1:17" x14ac:dyDescent="0.3">
      <c r="J38">
        <f>SUM(J2:J36)</f>
        <v>266.69691025994535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"/>
  <sheetViews>
    <sheetView workbookViewId="0">
      <selection activeCell="S19" sqref="S19"/>
    </sheetView>
  </sheetViews>
  <sheetFormatPr defaultRowHeight="14.4" x14ac:dyDescent="0.3"/>
  <cols>
    <col min="9" max="9" width="18.33203125" bestFit="1" customWidth="1"/>
    <col min="10" max="10" width="19.77734375" bestFit="1" customWidth="1"/>
    <col min="12" max="12" width="18.77734375" bestFit="1" customWidth="1"/>
    <col min="13" max="13" width="20.21875" bestFit="1" customWidth="1"/>
    <col min="14" max="14" width="14.44140625" bestFit="1" customWidth="1"/>
  </cols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>
        <v>2</v>
      </c>
      <c r="B2">
        <v>303711</v>
      </c>
      <c r="C2">
        <v>3</v>
      </c>
      <c r="D2" t="s">
        <v>35</v>
      </c>
      <c r="E2" t="s">
        <v>36</v>
      </c>
      <c r="F2">
        <v>11.1454918</v>
      </c>
      <c r="G2">
        <v>0</v>
      </c>
      <c r="H2">
        <v>-11.1454918</v>
      </c>
      <c r="I2">
        <v>5.3193424734431414</v>
      </c>
      <c r="J2">
        <v>5</v>
      </c>
      <c r="K2">
        <v>-0.31934247344314137</v>
      </c>
      <c r="L2">
        <v>11.02839611009186</v>
      </c>
      <c r="M2">
        <v>0</v>
      </c>
      <c r="N2">
        <v>15.97368294335427</v>
      </c>
      <c r="O2">
        <v>240.77705879999999</v>
      </c>
      <c r="P2">
        <v>240.77705879999999</v>
      </c>
      <c r="Q2">
        <v>360.43338410000001</v>
      </c>
    </row>
    <row r="3" spans="1:17" x14ac:dyDescent="0.3">
      <c r="A3">
        <v>6</v>
      </c>
      <c r="B3">
        <v>306974</v>
      </c>
      <c r="C3">
        <v>7</v>
      </c>
      <c r="D3" t="s">
        <v>40</v>
      </c>
      <c r="E3" t="s">
        <v>36</v>
      </c>
      <c r="F3">
        <v>15.92213115</v>
      </c>
      <c r="G3">
        <v>0</v>
      </c>
      <c r="H3">
        <v>-15.92213115</v>
      </c>
      <c r="I3">
        <v>5.4562035336948602</v>
      </c>
      <c r="J3">
        <v>5</v>
      </c>
      <c r="K3">
        <v>-0.45620353369486022</v>
      </c>
      <c r="L3">
        <v>11.02839611009186</v>
      </c>
      <c r="M3">
        <v>0</v>
      </c>
      <c r="N3">
        <v>11.121409922824149</v>
      </c>
      <c r="O3">
        <v>117.3459036</v>
      </c>
      <c r="P3">
        <v>117.3459036</v>
      </c>
      <c r="Q3">
        <v>218.6916086</v>
      </c>
    </row>
    <row r="4" spans="1:17" x14ac:dyDescent="0.3">
      <c r="A4">
        <v>9</v>
      </c>
      <c r="B4">
        <v>303718</v>
      </c>
      <c r="C4">
        <v>10</v>
      </c>
      <c r="D4" t="s">
        <v>43</v>
      </c>
      <c r="E4" t="s">
        <v>36</v>
      </c>
      <c r="F4">
        <v>4.7766393440000003</v>
      </c>
      <c r="G4">
        <v>0</v>
      </c>
      <c r="H4">
        <v>-4.7766393440000003</v>
      </c>
      <c r="I4">
        <v>5.1368610600798057</v>
      </c>
      <c r="J4">
        <v>5</v>
      </c>
      <c r="K4">
        <v>-0.1368610600798057</v>
      </c>
      <c r="L4">
        <v>11.02839611009186</v>
      </c>
      <c r="M4">
        <v>0</v>
      </c>
      <c r="N4">
        <v>5.4475404630973818</v>
      </c>
      <c r="O4">
        <v>191.59637810000001</v>
      </c>
      <c r="P4">
        <v>191.59637810000001</v>
      </c>
      <c r="Q4">
        <v>194.21300890000001</v>
      </c>
    </row>
    <row r="5" spans="1:17" x14ac:dyDescent="0.3">
      <c r="A5">
        <v>11</v>
      </c>
      <c r="B5">
        <v>303720</v>
      </c>
      <c r="C5">
        <v>12</v>
      </c>
      <c r="D5" t="s">
        <v>45</v>
      </c>
      <c r="E5" t="s">
        <v>36</v>
      </c>
      <c r="F5">
        <v>19.106557380000002</v>
      </c>
      <c r="G5">
        <v>0</v>
      </c>
      <c r="H5">
        <v>-19.106557380000002</v>
      </c>
      <c r="I5">
        <v>5.5474442404338324</v>
      </c>
      <c r="J5">
        <v>5</v>
      </c>
      <c r="K5">
        <v>-0.54744424043383244</v>
      </c>
      <c r="L5">
        <v>11.02839611009186</v>
      </c>
      <c r="M5">
        <v>0</v>
      </c>
      <c r="N5">
        <v>33.789912982984923</v>
      </c>
      <c r="O5">
        <v>297.10770330000003</v>
      </c>
      <c r="P5">
        <v>297.10770330000003</v>
      </c>
      <c r="Q5">
        <v>310.22546720000003</v>
      </c>
    </row>
    <row r="6" spans="1:17" x14ac:dyDescent="0.3">
      <c r="A6">
        <v>13</v>
      </c>
      <c r="B6">
        <v>303723</v>
      </c>
      <c r="C6">
        <v>14</v>
      </c>
      <c r="D6" t="s">
        <v>47</v>
      </c>
      <c r="E6" t="s">
        <v>36</v>
      </c>
      <c r="F6">
        <v>9.5532786890000008</v>
      </c>
      <c r="G6">
        <v>0</v>
      </c>
      <c r="H6">
        <v>-9.5532786890000008</v>
      </c>
      <c r="I6">
        <v>5.273722120188264</v>
      </c>
      <c r="J6">
        <v>5</v>
      </c>
      <c r="K6">
        <v>-0.27372212018826397</v>
      </c>
      <c r="L6">
        <v>11.02839611009186</v>
      </c>
      <c r="M6">
        <v>0</v>
      </c>
      <c r="N6">
        <v>9.7108508600631698</v>
      </c>
      <c r="O6">
        <v>170.7709989</v>
      </c>
      <c r="P6">
        <v>170.7709989</v>
      </c>
      <c r="Q6">
        <v>199.09886739999999</v>
      </c>
    </row>
    <row r="7" spans="1:17" x14ac:dyDescent="0.3">
      <c r="A7">
        <v>15</v>
      </c>
      <c r="B7">
        <v>303725</v>
      </c>
      <c r="C7">
        <v>16</v>
      </c>
      <c r="D7" t="s">
        <v>49</v>
      </c>
      <c r="E7" t="s">
        <v>36</v>
      </c>
      <c r="F7">
        <v>11.1454918</v>
      </c>
      <c r="G7">
        <v>0</v>
      </c>
      <c r="H7">
        <v>-11.1454918</v>
      </c>
      <c r="I7">
        <v>5.3193424734431414</v>
      </c>
      <c r="J7">
        <v>5</v>
      </c>
      <c r="K7">
        <v>-0.31934247344314137</v>
      </c>
      <c r="L7">
        <v>11.02839611009186</v>
      </c>
      <c r="M7">
        <v>0</v>
      </c>
      <c r="N7">
        <v>6.3983150843985346</v>
      </c>
      <c r="O7">
        <v>96.444100759999998</v>
      </c>
      <c r="P7">
        <v>162.72000449999999</v>
      </c>
      <c r="Q7">
        <v>96.444100759999998</v>
      </c>
    </row>
    <row r="8" spans="1:17" x14ac:dyDescent="0.3">
      <c r="A8">
        <v>17</v>
      </c>
      <c r="B8">
        <v>303727</v>
      </c>
      <c r="C8">
        <v>18</v>
      </c>
      <c r="D8" t="s">
        <v>51</v>
      </c>
      <c r="E8" t="s">
        <v>36</v>
      </c>
      <c r="F8">
        <v>11.1454918</v>
      </c>
      <c r="G8">
        <v>0</v>
      </c>
      <c r="H8">
        <v>-11.1454918</v>
      </c>
      <c r="I8">
        <v>5.3193424734431414</v>
      </c>
      <c r="J8">
        <v>5</v>
      </c>
      <c r="K8">
        <v>-0.31934247344314137</v>
      </c>
      <c r="L8">
        <v>11.02839611009186</v>
      </c>
      <c r="M8">
        <v>0</v>
      </c>
      <c r="N8">
        <v>5.4201094141227717</v>
      </c>
      <c r="O8">
        <v>81.699255440000002</v>
      </c>
      <c r="P8">
        <v>164.48093270000001</v>
      </c>
      <c r="Q8">
        <v>81.699255440000002</v>
      </c>
    </row>
    <row r="9" spans="1:17" x14ac:dyDescent="0.3">
      <c r="A9">
        <v>19</v>
      </c>
      <c r="B9">
        <v>303729</v>
      </c>
      <c r="C9">
        <v>20</v>
      </c>
      <c r="D9" t="s">
        <v>53</v>
      </c>
      <c r="E9" t="s">
        <v>36</v>
      </c>
      <c r="F9">
        <v>9.5532786890000008</v>
      </c>
      <c r="G9">
        <v>0</v>
      </c>
      <c r="H9">
        <v>-9.5532786890000008</v>
      </c>
      <c r="I9">
        <v>5.273722120188264</v>
      </c>
      <c r="J9">
        <v>5</v>
      </c>
      <c r="K9">
        <v>-0.27372212018826397</v>
      </c>
      <c r="L9">
        <v>11.02839611009186</v>
      </c>
      <c r="M9">
        <v>0</v>
      </c>
      <c r="N9">
        <v>6.8654418539789486</v>
      </c>
      <c r="O9">
        <v>120.7328153</v>
      </c>
      <c r="P9">
        <v>207.58367480000001</v>
      </c>
      <c r="Q9">
        <v>120.7328153</v>
      </c>
    </row>
    <row r="10" spans="1:17" x14ac:dyDescent="0.3">
      <c r="A10">
        <v>22</v>
      </c>
      <c r="B10">
        <v>303732</v>
      </c>
      <c r="C10">
        <v>23</v>
      </c>
      <c r="D10" t="s">
        <v>56</v>
      </c>
      <c r="E10" t="s">
        <v>36</v>
      </c>
      <c r="F10">
        <v>20.698770490000001</v>
      </c>
      <c r="G10">
        <v>0</v>
      </c>
      <c r="H10">
        <v>-20.698770490000001</v>
      </c>
      <c r="I10">
        <v>5.5930645936600571</v>
      </c>
      <c r="J10">
        <v>5</v>
      </c>
      <c r="K10">
        <v>-0.59306459366005715</v>
      </c>
      <c r="L10">
        <v>11.02839611009186</v>
      </c>
      <c r="M10">
        <v>0</v>
      </c>
      <c r="N10">
        <v>20.445907730442119</v>
      </c>
      <c r="O10">
        <v>165.94765860000001</v>
      </c>
      <c r="P10">
        <v>244.73398449999999</v>
      </c>
      <c r="Q10">
        <v>165.94765860000001</v>
      </c>
    </row>
    <row r="11" spans="1:17" x14ac:dyDescent="0.3">
      <c r="A11">
        <v>24</v>
      </c>
      <c r="B11">
        <v>303734</v>
      </c>
      <c r="C11">
        <v>25</v>
      </c>
      <c r="D11" t="s">
        <v>58</v>
      </c>
      <c r="E11" t="s">
        <v>36</v>
      </c>
      <c r="F11">
        <v>22.290983610000001</v>
      </c>
      <c r="G11">
        <v>0</v>
      </c>
      <c r="H11">
        <v>-22.290983610000001</v>
      </c>
      <c r="I11">
        <v>5.6386849471728047</v>
      </c>
      <c r="J11">
        <v>5</v>
      </c>
      <c r="K11">
        <v>-0.63868494717280466</v>
      </c>
      <c r="L11">
        <v>11.02839611009186</v>
      </c>
      <c r="M11">
        <v>0</v>
      </c>
      <c r="N11">
        <v>15.730355356271611</v>
      </c>
      <c r="O11">
        <v>118.5546473</v>
      </c>
      <c r="P11">
        <v>209.00191190000001</v>
      </c>
      <c r="Q11">
        <v>118.5546473</v>
      </c>
    </row>
    <row r="12" spans="1:17" x14ac:dyDescent="0.3">
      <c r="A12">
        <v>28</v>
      </c>
      <c r="B12">
        <v>303738</v>
      </c>
      <c r="C12">
        <v>29</v>
      </c>
      <c r="D12" t="s">
        <v>62</v>
      </c>
      <c r="E12" t="s">
        <v>36</v>
      </c>
      <c r="F12">
        <v>17.514344260000001</v>
      </c>
      <c r="G12">
        <v>0</v>
      </c>
      <c r="H12">
        <v>-17.514344260000001</v>
      </c>
      <c r="I12">
        <v>5.5018238869210849</v>
      </c>
      <c r="J12">
        <v>5</v>
      </c>
      <c r="K12">
        <v>-0.50182388692108493</v>
      </c>
      <c r="L12">
        <v>11.02839611009186</v>
      </c>
      <c r="M12">
        <v>0</v>
      </c>
      <c r="N12">
        <v>21.153377036597941</v>
      </c>
      <c r="O12">
        <v>202.9061031</v>
      </c>
      <c r="P12">
        <v>202.9061031</v>
      </c>
      <c r="Q12">
        <v>246.27858119999999</v>
      </c>
    </row>
    <row r="13" spans="1:17" x14ac:dyDescent="0.3">
      <c r="A13">
        <v>31</v>
      </c>
      <c r="B13">
        <v>306600</v>
      </c>
      <c r="C13">
        <v>32</v>
      </c>
      <c r="D13" t="s">
        <v>65</v>
      </c>
      <c r="E13" t="s">
        <v>36</v>
      </c>
      <c r="F13">
        <v>25.475409840000001</v>
      </c>
      <c r="G13">
        <v>0</v>
      </c>
      <c r="H13">
        <v>-25.475409840000001</v>
      </c>
      <c r="I13">
        <v>5.7299256539117769</v>
      </c>
      <c r="J13">
        <v>5</v>
      </c>
      <c r="K13">
        <v>-0.72992565391177688</v>
      </c>
      <c r="L13">
        <v>11.02839611009186</v>
      </c>
      <c r="M13">
        <v>0</v>
      </c>
      <c r="N13">
        <v>33.740430430210878</v>
      </c>
      <c r="O13">
        <v>222.50446009999999</v>
      </c>
      <c r="P13">
        <v>241.0194118</v>
      </c>
      <c r="Q13">
        <v>222.50446009999999</v>
      </c>
    </row>
    <row r="14" spans="1:17" x14ac:dyDescent="0.3">
      <c r="A14">
        <v>33</v>
      </c>
      <c r="B14">
        <v>306677</v>
      </c>
      <c r="C14">
        <v>34</v>
      </c>
      <c r="D14" t="s">
        <v>67</v>
      </c>
      <c r="E14" t="s">
        <v>36</v>
      </c>
      <c r="F14">
        <v>12.737704920000001</v>
      </c>
      <c r="G14">
        <v>0</v>
      </c>
      <c r="H14">
        <v>-12.737704920000001</v>
      </c>
      <c r="I14">
        <v>5.364962826955888</v>
      </c>
      <c r="J14">
        <v>5</v>
      </c>
      <c r="K14">
        <v>-0.364962826955888</v>
      </c>
      <c r="L14">
        <v>11.02839611009186</v>
      </c>
      <c r="M14">
        <v>0</v>
      </c>
      <c r="N14">
        <v>18.122195937020109</v>
      </c>
      <c r="O14">
        <v>239.0170707</v>
      </c>
      <c r="P14">
        <v>245.0173752</v>
      </c>
      <c r="Q14">
        <v>239.0170707</v>
      </c>
    </row>
    <row r="15" spans="1:17" x14ac:dyDescent="0.3">
      <c r="A15">
        <v>36</v>
      </c>
      <c r="B15">
        <v>305264</v>
      </c>
      <c r="C15">
        <v>37</v>
      </c>
      <c r="D15" t="s">
        <v>70</v>
      </c>
      <c r="E15" t="s">
        <v>36</v>
      </c>
      <c r="F15">
        <v>25.475409840000001</v>
      </c>
      <c r="G15">
        <v>0</v>
      </c>
      <c r="H15">
        <v>-25.475409840000001</v>
      </c>
      <c r="I15">
        <v>5.7299256539117769</v>
      </c>
      <c r="J15">
        <v>5</v>
      </c>
      <c r="K15">
        <v>-0.72992565391177688</v>
      </c>
      <c r="L15">
        <v>11.02839611009186</v>
      </c>
      <c r="M15">
        <v>0</v>
      </c>
      <c r="N15">
        <v>23.939059597959449</v>
      </c>
      <c r="O15">
        <v>157.868393</v>
      </c>
      <c r="P15">
        <v>166.6946796</v>
      </c>
      <c r="Q15">
        <v>157.868393</v>
      </c>
    </row>
    <row r="16" spans="1:17" x14ac:dyDescent="0.3">
      <c r="A16">
        <v>41</v>
      </c>
      <c r="B16">
        <v>305271</v>
      </c>
      <c r="C16">
        <v>42</v>
      </c>
      <c r="D16" t="s">
        <v>75</v>
      </c>
      <c r="E16" t="s">
        <v>36</v>
      </c>
      <c r="F16">
        <v>49.358606559999998</v>
      </c>
      <c r="G16">
        <v>0</v>
      </c>
      <c r="H16">
        <v>-49.358606559999998</v>
      </c>
      <c r="I16">
        <v>6.4142309543108054</v>
      </c>
      <c r="J16">
        <v>5</v>
      </c>
      <c r="K16">
        <v>-1.4142309543108049</v>
      </c>
      <c r="L16">
        <v>11.02839611009186</v>
      </c>
      <c r="M16">
        <v>0</v>
      </c>
      <c r="N16">
        <v>29.375440918359189</v>
      </c>
      <c r="O16">
        <v>99.984063939999999</v>
      </c>
      <c r="P16">
        <v>99.984063939999999</v>
      </c>
      <c r="Q16">
        <v>161.3715527</v>
      </c>
    </row>
    <row r="17" spans="1:17" x14ac:dyDescent="0.3">
      <c r="A17">
        <v>44</v>
      </c>
      <c r="B17">
        <v>307121</v>
      </c>
      <c r="C17">
        <v>45</v>
      </c>
      <c r="D17" t="s">
        <v>78</v>
      </c>
      <c r="E17" t="s">
        <v>36</v>
      </c>
      <c r="F17">
        <v>3.1844262300000001</v>
      </c>
      <c r="G17">
        <v>0</v>
      </c>
      <c r="H17">
        <v>-3.1844262300000001</v>
      </c>
      <c r="I17">
        <v>5.0912407067389722</v>
      </c>
      <c r="J17">
        <v>5</v>
      </c>
      <c r="K17">
        <v>-9.1240706738972222E-2</v>
      </c>
      <c r="L17">
        <v>11.02839611009186</v>
      </c>
      <c r="M17">
        <v>0</v>
      </c>
      <c r="N17">
        <v>3.3026031097825959</v>
      </c>
      <c r="O17">
        <v>174.23462889999999</v>
      </c>
      <c r="P17">
        <v>250.99219969999999</v>
      </c>
      <c r="Q17">
        <v>174.23462889999999</v>
      </c>
    </row>
    <row r="18" spans="1:17" x14ac:dyDescent="0.3">
      <c r="A18">
        <v>46</v>
      </c>
      <c r="B18">
        <v>305156</v>
      </c>
      <c r="C18">
        <v>47</v>
      </c>
      <c r="D18" t="s">
        <v>80</v>
      </c>
      <c r="E18" t="s">
        <v>36</v>
      </c>
      <c r="F18">
        <v>38.213114750000003</v>
      </c>
      <c r="G18">
        <v>0</v>
      </c>
      <c r="H18">
        <v>-38.213114750000003</v>
      </c>
      <c r="I18">
        <v>6.094888480581143</v>
      </c>
      <c r="J18">
        <v>5</v>
      </c>
      <c r="K18">
        <v>-1.094888480581143</v>
      </c>
      <c r="L18">
        <v>11.02839611009186</v>
      </c>
      <c r="M18">
        <v>0</v>
      </c>
      <c r="N18">
        <v>28.044959569123321</v>
      </c>
      <c r="O18">
        <v>123.2967592</v>
      </c>
      <c r="P18">
        <v>123.2967592</v>
      </c>
      <c r="Q18">
        <v>199.77031769999999</v>
      </c>
    </row>
    <row r="19" spans="1:17" x14ac:dyDescent="0.3">
      <c r="A19">
        <v>51</v>
      </c>
      <c r="B19">
        <v>308187</v>
      </c>
      <c r="C19">
        <v>52</v>
      </c>
      <c r="D19" t="s">
        <v>85</v>
      </c>
      <c r="E19" t="s">
        <v>36</v>
      </c>
      <c r="F19">
        <v>23.883196720000001</v>
      </c>
      <c r="G19">
        <v>0</v>
      </c>
      <c r="H19">
        <v>-23.883196720000001</v>
      </c>
      <c r="I19">
        <v>5.6843053003990294</v>
      </c>
      <c r="J19">
        <v>5</v>
      </c>
      <c r="K19">
        <v>-0.68430530039902937</v>
      </c>
      <c r="L19">
        <v>11.02839611009186</v>
      </c>
      <c r="M19">
        <v>0</v>
      </c>
      <c r="N19">
        <v>14.37636702546569</v>
      </c>
      <c r="O19">
        <v>101.1267331</v>
      </c>
      <c r="P19">
        <v>101.1267331</v>
      </c>
      <c r="Q19">
        <v>104.520253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workbookViewId="0"/>
  </sheetViews>
  <sheetFormatPr defaultRowHeight="14.4" x14ac:dyDescent="0.3"/>
  <cols>
    <col min="7" max="7" width="17.88671875" bestFit="1" customWidth="1"/>
    <col min="8" max="8" width="15.5546875" bestFit="1" customWidth="1"/>
    <col min="9" max="9" width="18.33203125" bestFit="1" customWidth="1"/>
    <col min="10" max="10" width="19.77734375" bestFit="1" customWidth="1"/>
    <col min="11" max="11" width="17.5546875" bestFit="1" customWidth="1"/>
    <col min="12" max="12" width="18.77734375" bestFit="1" customWidth="1"/>
    <col min="13" max="13" width="20.21875" bestFit="1" customWidth="1"/>
  </cols>
  <sheetData>
    <row r="1" spans="1:1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3">
      <c r="A2">
        <v>42</v>
      </c>
      <c r="B2">
        <v>305272</v>
      </c>
      <c r="C2">
        <v>43</v>
      </c>
      <c r="D2" t="s">
        <v>76</v>
      </c>
      <c r="E2" t="s">
        <v>33</v>
      </c>
      <c r="F2">
        <v>49.358606559999998</v>
      </c>
      <c r="G2">
        <v>98.717213119999997</v>
      </c>
      <c r="H2">
        <v>49.358606559999998</v>
      </c>
      <c r="I2">
        <v>6.4142309543108054</v>
      </c>
      <c r="J2">
        <v>7.8284619086216098</v>
      </c>
      <c r="K2">
        <v>1.414230954310804</v>
      </c>
      <c r="L2">
        <v>11.02839611009186</v>
      </c>
      <c r="M2">
        <v>15.23007290289085</v>
      </c>
      <c r="N2">
        <v>0</v>
      </c>
      <c r="O2">
        <v>0</v>
      </c>
      <c r="P2">
        <v>182.26895730000001</v>
      </c>
      <c r="Q2">
        <v>99.984063939999999</v>
      </c>
    </row>
    <row r="3" spans="1:17" x14ac:dyDescent="0.3">
      <c r="A3">
        <v>47</v>
      </c>
      <c r="B3">
        <v>305157</v>
      </c>
      <c r="C3">
        <v>48</v>
      </c>
      <c r="D3" t="s">
        <v>81</v>
      </c>
      <c r="E3" t="s">
        <v>33</v>
      </c>
      <c r="F3">
        <v>103.4938525</v>
      </c>
      <c r="G3">
        <v>141.70696724999999</v>
      </c>
      <c r="H3">
        <v>38.213114749999988</v>
      </c>
      <c r="I3">
        <v>7.9653229697328953</v>
      </c>
      <c r="J3">
        <v>9.0602114503140374</v>
      </c>
      <c r="K3">
        <v>1.0948884805811421</v>
      </c>
      <c r="L3">
        <v>11.02839611009186</v>
      </c>
      <c r="M3">
        <v>15.23007290289085</v>
      </c>
      <c r="N3">
        <v>0</v>
      </c>
      <c r="O3">
        <v>0</v>
      </c>
      <c r="P3">
        <v>244.2469901</v>
      </c>
      <c r="Q3">
        <v>123.2967592</v>
      </c>
    </row>
    <row r="4" spans="1:17" x14ac:dyDescent="0.3">
      <c r="A4">
        <v>30</v>
      </c>
      <c r="B4">
        <v>304664</v>
      </c>
      <c r="C4">
        <v>31</v>
      </c>
      <c r="D4" t="s">
        <v>64</v>
      </c>
      <c r="E4" t="s">
        <v>33</v>
      </c>
      <c r="F4">
        <v>178.3278689</v>
      </c>
      <c r="G4">
        <v>203.80327874</v>
      </c>
      <c r="H4">
        <v>25.475409840000001</v>
      </c>
      <c r="I4">
        <v>10.109479577955479</v>
      </c>
      <c r="J4">
        <v>10.83940523186725</v>
      </c>
      <c r="K4">
        <v>0.729925653911776</v>
      </c>
      <c r="L4">
        <v>11.02839611009186</v>
      </c>
      <c r="M4">
        <v>15.23007290289085</v>
      </c>
      <c r="N4">
        <v>0</v>
      </c>
      <c r="O4">
        <v>0</v>
      </c>
      <c r="P4">
        <v>222.50446009999999</v>
      </c>
      <c r="Q4">
        <v>178.8285429</v>
      </c>
    </row>
    <row r="5" spans="1:17" x14ac:dyDescent="0.3">
      <c r="A5">
        <v>35</v>
      </c>
      <c r="B5">
        <v>305263</v>
      </c>
      <c r="C5">
        <v>36</v>
      </c>
      <c r="D5" t="s">
        <v>69</v>
      </c>
      <c r="E5" t="s">
        <v>33</v>
      </c>
      <c r="F5">
        <v>33.43647541</v>
      </c>
      <c r="G5">
        <v>58.911885249999997</v>
      </c>
      <c r="H5">
        <v>25.475409840000001</v>
      </c>
      <c r="I5">
        <v>5.9580274206159451</v>
      </c>
      <c r="J5">
        <v>6.687953074527722</v>
      </c>
      <c r="K5">
        <v>0.72992565391177688</v>
      </c>
      <c r="L5">
        <v>11.02839611009186</v>
      </c>
      <c r="M5">
        <v>15.23007290289085</v>
      </c>
      <c r="N5">
        <v>0</v>
      </c>
      <c r="O5">
        <v>0</v>
      </c>
      <c r="P5">
        <v>157.868393</v>
      </c>
      <c r="Q5">
        <v>320.80642060000002</v>
      </c>
    </row>
    <row r="6" spans="1:17" x14ac:dyDescent="0.3">
      <c r="A6">
        <v>52</v>
      </c>
      <c r="B6">
        <v>305286</v>
      </c>
      <c r="C6">
        <v>53</v>
      </c>
      <c r="D6" t="s">
        <v>86</v>
      </c>
      <c r="E6" t="s">
        <v>33</v>
      </c>
      <c r="F6">
        <v>116.2315574</v>
      </c>
      <c r="G6">
        <v>140.11475411999999</v>
      </c>
      <c r="H6">
        <v>23.88319671999999</v>
      </c>
      <c r="I6">
        <v>8.3302857961157386</v>
      </c>
      <c r="J6">
        <v>9.0145910965147689</v>
      </c>
      <c r="K6">
        <v>0.68430530039903026</v>
      </c>
      <c r="L6">
        <v>11.02839611009186</v>
      </c>
      <c r="M6">
        <v>15.23007290289085</v>
      </c>
      <c r="N6">
        <v>0</v>
      </c>
      <c r="O6">
        <v>0</v>
      </c>
      <c r="P6">
        <v>0</v>
      </c>
      <c r="Q6">
        <v>101.1267331</v>
      </c>
    </row>
    <row r="7" spans="1:17" x14ac:dyDescent="0.3">
      <c r="A7">
        <v>23</v>
      </c>
      <c r="B7">
        <v>303733</v>
      </c>
      <c r="C7">
        <v>24</v>
      </c>
      <c r="D7" t="s">
        <v>57</v>
      </c>
      <c r="E7" t="s">
        <v>33</v>
      </c>
      <c r="F7">
        <v>19.106557380000002</v>
      </c>
      <c r="G7">
        <v>41.397540990000003</v>
      </c>
      <c r="H7">
        <v>22.290983610000001</v>
      </c>
      <c r="I7">
        <v>5.5474442404338324</v>
      </c>
      <c r="J7">
        <v>6.1861291876066362</v>
      </c>
      <c r="K7">
        <v>0.63868494717280377</v>
      </c>
      <c r="L7">
        <v>11.02839611009186</v>
      </c>
      <c r="M7">
        <v>15.23007290289085</v>
      </c>
      <c r="N7">
        <v>0</v>
      </c>
      <c r="O7">
        <v>0</v>
      </c>
      <c r="P7">
        <v>118.5546473</v>
      </c>
      <c r="Q7">
        <v>244.73398449999999</v>
      </c>
    </row>
    <row r="8" spans="1:17" x14ac:dyDescent="0.3">
      <c r="A8">
        <v>21</v>
      </c>
      <c r="B8">
        <v>303731</v>
      </c>
      <c r="C8">
        <v>22</v>
      </c>
      <c r="D8" t="s">
        <v>55</v>
      </c>
      <c r="E8" t="s">
        <v>33</v>
      </c>
      <c r="F8">
        <v>30.25204918</v>
      </c>
      <c r="G8">
        <v>50.950819670000001</v>
      </c>
      <c r="H8">
        <v>20.698770490000001</v>
      </c>
      <c r="I8">
        <v>5.8667867138769729</v>
      </c>
      <c r="J8">
        <v>6.4598513075370301</v>
      </c>
      <c r="K8">
        <v>0.59306459366005715</v>
      </c>
      <c r="L8">
        <v>11.02839611009186</v>
      </c>
      <c r="M8">
        <v>15.23007290289085</v>
      </c>
      <c r="N8">
        <v>0</v>
      </c>
      <c r="O8">
        <v>0</v>
      </c>
      <c r="P8">
        <v>165.94765860000001</v>
      </c>
      <c r="Q8">
        <v>168.0147666</v>
      </c>
    </row>
    <row r="9" spans="1:17" x14ac:dyDescent="0.3">
      <c r="A9">
        <v>14</v>
      </c>
      <c r="B9">
        <v>303724</v>
      </c>
      <c r="C9">
        <v>15</v>
      </c>
      <c r="D9" t="s">
        <v>48</v>
      </c>
      <c r="E9" t="s">
        <v>33</v>
      </c>
      <c r="F9">
        <v>3.1844262300000001</v>
      </c>
      <c r="G9">
        <v>23.883196719000001</v>
      </c>
      <c r="H9">
        <v>20.698770489000001</v>
      </c>
      <c r="I9">
        <v>5.0912407067389722</v>
      </c>
      <c r="J9">
        <v>5.6843053003703767</v>
      </c>
      <c r="K9">
        <v>0.59306459363140451</v>
      </c>
      <c r="L9">
        <v>11.02839611009186</v>
      </c>
      <c r="M9">
        <v>15.23007290289085</v>
      </c>
      <c r="N9">
        <v>0</v>
      </c>
      <c r="O9">
        <v>0</v>
      </c>
      <c r="P9">
        <v>96.444100759999998</v>
      </c>
      <c r="Q9">
        <v>170.7709989</v>
      </c>
    </row>
    <row r="10" spans="1:17" x14ac:dyDescent="0.3">
      <c r="A10">
        <v>12</v>
      </c>
      <c r="B10">
        <v>303722</v>
      </c>
      <c r="C10">
        <v>13</v>
      </c>
      <c r="D10" t="s">
        <v>46</v>
      </c>
      <c r="E10" t="s">
        <v>33</v>
      </c>
      <c r="F10">
        <v>19.106557380000002</v>
      </c>
      <c r="G10">
        <v>38.213114760000003</v>
      </c>
      <c r="H10">
        <v>19.106557380000002</v>
      </c>
      <c r="I10">
        <v>5.5474442404338324</v>
      </c>
      <c r="J10">
        <v>6.094888480867664</v>
      </c>
      <c r="K10">
        <v>0.54744424043383155</v>
      </c>
      <c r="L10">
        <v>11.02839611009186</v>
      </c>
      <c r="M10">
        <v>15.23007290289085</v>
      </c>
      <c r="N10">
        <v>0</v>
      </c>
      <c r="O10">
        <v>0</v>
      </c>
      <c r="P10">
        <v>199.09886739999999</v>
      </c>
      <c r="Q10">
        <v>297.10770330000003</v>
      </c>
    </row>
    <row r="11" spans="1:17" x14ac:dyDescent="0.3">
      <c r="A11">
        <v>29</v>
      </c>
      <c r="B11">
        <v>304663</v>
      </c>
      <c r="C11">
        <v>30</v>
      </c>
      <c r="D11" t="s">
        <v>63</v>
      </c>
      <c r="E11" t="s">
        <v>33</v>
      </c>
      <c r="F11">
        <v>41.397540980000002</v>
      </c>
      <c r="G11">
        <v>58.911885239999997</v>
      </c>
      <c r="H11">
        <v>17.514344260000001</v>
      </c>
      <c r="I11">
        <v>6.1861291873201152</v>
      </c>
      <c r="J11">
        <v>6.6879530742412001</v>
      </c>
      <c r="K11">
        <v>0.50182388692108493</v>
      </c>
      <c r="L11">
        <v>11.02839611009186</v>
      </c>
      <c r="M11">
        <v>15.23007290289085</v>
      </c>
      <c r="N11">
        <v>0</v>
      </c>
      <c r="O11">
        <v>0</v>
      </c>
      <c r="P11">
        <v>178.8285429</v>
      </c>
      <c r="Q11">
        <v>202.9061031</v>
      </c>
    </row>
    <row r="12" spans="1:17" x14ac:dyDescent="0.3">
      <c r="A12">
        <v>7</v>
      </c>
      <c r="B12">
        <v>306322</v>
      </c>
      <c r="C12">
        <v>8</v>
      </c>
      <c r="D12" t="s">
        <v>41</v>
      </c>
      <c r="E12" t="s">
        <v>33</v>
      </c>
      <c r="F12">
        <v>44.581967210000002</v>
      </c>
      <c r="G12">
        <v>60.50409836</v>
      </c>
      <c r="H12">
        <v>15.92213115</v>
      </c>
      <c r="I12">
        <v>6.2773698940590874</v>
      </c>
      <c r="J12">
        <v>6.7335734277539467</v>
      </c>
      <c r="K12">
        <v>0.45620353369485928</v>
      </c>
      <c r="L12">
        <v>11.02839611009186</v>
      </c>
      <c r="M12">
        <v>15.23007290289085</v>
      </c>
      <c r="N12">
        <v>0</v>
      </c>
      <c r="O12">
        <v>0</v>
      </c>
      <c r="P12">
        <v>170.1646203</v>
      </c>
      <c r="Q12">
        <v>117.3459036</v>
      </c>
    </row>
    <row r="13" spans="1:17" x14ac:dyDescent="0.3">
      <c r="A13">
        <v>32</v>
      </c>
      <c r="B13">
        <v>306676</v>
      </c>
      <c r="C13">
        <v>33</v>
      </c>
      <c r="D13" t="s">
        <v>66</v>
      </c>
      <c r="E13" t="s">
        <v>33</v>
      </c>
      <c r="F13">
        <v>17.514344260000001</v>
      </c>
      <c r="G13">
        <v>30.25204918</v>
      </c>
      <c r="H13">
        <v>12.737704920000001</v>
      </c>
      <c r="I13">
        <v>5.5018238869210849</v>
      </c>
      <c r="J13">
        <v>5.8667867138769729</v>
      </c>
      <c r="K13">
        <v>0.364962826955888</v>
      </c>
      <c r="L13">
        <v>11.02839611009186</v>
      </c>
      <c r="M13">
        <v>15.23007290289085</v>
      </c>
      <c r="N13">
        <v>0</v>
      </c>
      <c r="O13">
        <v>0</v>
      </c>
      <c r="P13">
        <v>239.0170707</v>
      </c>
      <c r="Q13">
        <v>241.0194118</v>
      </c>
    </row>
    <row r="14" spans="1:17" x14ac:dyDescent="0.3">
      <c r="A14">
        <v>16</v>
      </c>
      <c r="B14">
        <v>303726</v>
      </c>
      <c r="C14">
        <v>17</v>
      </c>
      <c r="D14" t="s">
        <v>50</v>
      </c>
      <c r="E14" t="s">
        <v>33</v>
      </c>
      <c r="F14">
        <v>366.2090164</v>
      </c>
      <c r="G14">
        <v>377.3545082</v>
      </c>
      <c r="H14">
        <v>11.1454918</v>
      </c>
      <c r="I14">
        <v>15.49268127354917</v>
      </c>
      <c r="J14">
        <v>15.81202374699232</v>
      </c>
      <c r="K14">
        <v>0.31934247344314137</v>
      </c>
      <c r="L14">
        <v>11.02839611009186</v>
      </c>
      <c r="M14">
        <v>15.23007290289085</v>
      </c>
      <c r="N14">
        <v>0</v>
      </c>
      <c r="O14">
        <v>0</v>
      </c>
      <c r="P14">
        <v>81.699255440000002</v>
      </c>
      <c r="Q14">
        <v>162.72000449999999</v>
      </c>
    </row>
    <row r="15" spans="1:17" x14ac:dyDescent="0.3">
      <c r="A15">
        <v>3</v>
      </c>
      <c r="B15">
        <v>303712</v>
      </c>
      <c r="C15">
        <v>4</v>
      </c>
      <c r="D15" t="s">
        <v>37</v>
      </c>
      <c r="E15" t="s">
        <v>33</v>
      </c>
      <c r="F15">
        <v>74.834016390000002</v>
      </c>
      <c r="G15">
        <v>85.979508190000004</v>
      </c>
      <c r="H15">
        <v>11.1454918</v>
      </c>
      <c r="I15">
        <v>7.1441566079360603</v>
      </c>
      <c r="J15">
        <v>7.4634990813792008</v>
      </c>
      <c r="K15">
        <v>0.31934247344314048</v>
      </c>
      <c r="L15">
        <v>11.02839611009186</v>
      </c>
      <c r="M15">
        <v>15.23007290289085</v>
      </c>
      <c r="N15">
        <v>0</v>
      </c>
      <c r="O15">
        <v>0</v>
      </c>
      <c r="P15">
        <v>292.94534119999997</v>
      </c>
      <c r="Q15">
        <v>240.77705879999999</v>
      </c>
    </row>
    <row r="16" spans="1:17" x14ac:dyDescent="0.3">
      <c r="A16">
        <v>18</v>
      </c>
      <c r="B16">
        <v>303728</v>
      </c>
      <c r="C16">
        <v>19</v>
      </c>
      <c r="D16" t="s">
        <v>52</v>
      </c>
      <c r="E16" t="s">
        <v>33</v>
      </c>
      <c r="F16">
        <v>4.7766393440000003</v>
      </c>
      <c r="G16">
        <v>14.329918033</v>
      </c>
      <c r="H16">
        <v>9.5532786890000025</v>
      </c>
      <c r="I16">
        <v>5.1368610600798057</v>
      </c>
      <c r="J16">
        <v>5.4105831802680697</v>
      </c>
      <c r="K16">
        <v>0.27372212018826397</v>
      </c>
      <c r="L16">
        <v>11.02839611009186</v>
      </c>
      <c r="M16">
        <v>15.23007290289085</v>
      </c>
      <c r="N16">
        <v>0</v>
      </c>
      <c r="O16">
        <v>0</v>
      </c>
      <c r="P16">
        <v>120.7328153</v>
      </c>
      <c r="Q16">
        <v>164.48093270000001</v>
      </c>
    </row>
    <row r="17" spans="1:17" x14ac:dyDescent="0.3">
      <c r="A17">
        <v>10</v>
      </c>
      <c r="B17">
        <v>308136</v>
      </c>
      <c r="C17">
        <v>11</v>
      </c>
      <c r="D17" t="s">
        <v>44</v>
      </c>
      <c r="E17" t="s">
        <v>33</v>
      </c>
      <c r="F17">
        <v>240.42418029999999</v>
      </c>
      <c r="G17">
        <v>245.20081964400001</v>
      </c>
      <c r="H17">
        <v>4.7766393439999888</v>
      </c>
      <c r="I17">
        <v>11.888673356929999</v>
      </c>
      <c r="J17">
        <v>12.0255344170098</v>
      </c>
      <c r="K17">
        <v>0.1368610600798057</v>
      </c>
      <c r="L17">
        <v>11.02839611009186</v>
      </c>
      <c r="M17">
        <v>15.23007290289085</v>
      </c>
      <c r="N17">
        <v>0</v>
      </c>
      <c r="O17">
        <v>0</v>
      </c>
      <c r="P17">
        <v>310.22546720000003</v>
      </c>
      <c r="Q17">
        <v>191.59637810000001</v>
      </c>
    </row>
    <row r="18" spans="1:17" x14ac:dyDescent="0.3">
      <c r="A18">
        <v>43</v>
      </c>
      <c r="B18">
        <v>306623</v>
      </c>
      <c r="C18">
        <v>44</v>
      </c>
      <c r="D18" t="s">
        <v>77</v>
      </c>
      <c r="E18" t="s">
        <v>33</v>
      </c>
      <c r="F18">
        <v>17.514344260000001</v>
      </c>
      <c r="G18">
        <v>20.698770490000001</v>
      </c>
      <c r="H18">
        <v>3.1844262300000001</v>
      </c>
      <c r="I18">
        <v>5.5018238869210849</v>
      </c>
      <c r="J18">
        <v>5.5930645936600571</v>
      </c>
      <c r="K18">
        <v>9.1240706738972222E-2</v>
      </c>
      <c r="L18">
        <v>11.02839611009186</v>
      </c>
      <c r="M18">
        <v>15.23007290289085</v>
      </c>
      <c r="N18">
        <v>0</v>
      </c>
      <c r="O18">
        <v>0</v>
      </c>
      <c r="P18">
        <v>174.23462889999999</v>
      </c>
      <c r="Q18">
        <v>182.26895730000001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/>
  </sheetViews>
  <sheetFormatPr defaultRowHeight="14.4" x14ac:dyDescent="0.3"/>
  <sheetData>
    <row r="1" spans="1:7" x14ac:dyDescent="0.3">
      <c r="A1" s="1" t="s">
        <v>15</v>
      </c>
      <c r="B1" s="1" t="s">
        <v>16</v>
      </c>
      <c r="C1" s="1" t="s">
        <v>18</v>
      </c>
      <c r="D1" s="1" t="s">
        <v>20</v>
      </c>
      <c r="E1" s="1" t="s">
        <v>29</v>
      </c>
      <c r="F1" s="1" t="s">
        <v>28</v>
      </c>
      <c r="G1" s="1" t="s">
        <v>87</v>
      </c>
    </row>
    <row r="2" spans="1:7" x14ac:dyDescent="0.3">
      <c r="A2">
        <v>2</v>
      </c>
      <c r="B2">
        <v>303711</v>
      </c>
      <c r="C2" t="s">
        <v>35</v>
      </c>
      <c r="D2">
        <v>11.1454918</v>
      </c>
      <c r="E2">
        <v>240.77705879999999</v>
      </c>
      <c r="F2">
        <v>15.97368294335427</v>
      </c>
      <c r="G2">
        <v>5830.3942743243097</v>
      </c>
    </row>
    <row r="3" spans="1:7" x14ac:dyDescent="0.3">
      <c r="A3">
        <v>6</v>
      </c>
      <c r="B3">
        <v>306974</v>
      </c>
      <c r="C3" t="s">
        <v>40</v>
      </c>
      <c r="D3">
        <v>15.92213115</v>
      </c>
      <c r="E3">
        <v>117.3459036</v>
      </c>
      <c r="F3">
        <v>11.121409922824149</v>
      </c>
      <c r="G3">
        <v>4059.3146218308152</v>
      </c>
    </row>
    <row r="4" spans="1:7" x14ac:dyDescent="0.3">
      <c r="A4">
        <v>9</v>
      </c>
      <c r="B4">
        <v>303718</v>
      </c>
      <c r="C4" t="s">
        <v>43</v>
      </c>
      <c r="D4">
        <v>4.7766393440000003</v>
      </c>
      <c r="E4">
        <v>191.59637810000001</v>
      </c>
      <c r="F4">
        <v>5.4475404630973818</v>
      </c>
      <c r="G4">
        <v>1988.352269030544</v>
      </c>
    </row>
    <row r="5" spans="1:7" x14ac:dyDescent="0.3">
      <c r="A5">
        <v>11</v>
      </c>
      <c r="B5">
        <v>303720</v>
      </c>
      <c r="C5" t="s">
        <v>45</v>
      </c>
      <c r="D5">
        <v>19.106557380000002</v>
      </c>
      <c r="E5">
        <v>297.10770330000003</v>
      </c>
      <c r="F5">
        <v>33.789912982984923</v>
      </c>
      <c r="G5">
        <v>12333.318238789499</v>
      </c>
    </row>
    <row r="6" spans="1:7" x14ac:dyDescent="0.3">
      <c r="A6">
        <v>13</v>
      </c>
      <c r="B6">
        <v>303723</v>
      </c>
      <c r="C6" t="s">
        <v>47</v>
      </c>
      <c r="D6">
        <v>9.5532786890000008</v>
      </c>
      <c r="E6">
        <v>170.7709989</v>
      </c>
      <c r="F6">
        <v>9.7108508600631698</v>
      </c>
      <c r="G6">
        <v>3544.4605639230572</v>
      </c>
    </row>
    <row r="7" spans="1:7" x14ac:dyDescent="0.3">
      <c r="A7">
        <v>15</v>
      </c>
      <c r="B7">
        <v>303725</v>
      </c>
      <c r="C7" t="s">
        <v>49</v>
      </c>
      <c r="D7">
        <v>11.1454918</v>
      </c>
      <c r="E7">
        <v>96.444100759999998</v>
      </c>
      <c r="F7">
        <v>6.3983150843985346</v>
      </c>
      <c r="G7">
        <v>2335.385005805465</v>
      </c>
    </row>
    <row r="8" spans="1:7" x14ac:dyDescent="0.3">
      <c r="A8">
        <v>17</v>
      </c>
      <c r="B8">
        <v>303727</v>
      </c>
      <c r="C8" t="s">
        <v>51</v>
      </c>
      <c r="D8">
        <v>11.1454918</v>
      </c>
      <c r="E8">
        <v>81.699255440000002</v>
      </c>
      <c r="F8">
        <v>5.4201094141227717</v>
      </c>
      <c r="G8">
        <v>1978.339936154812</v>
      </c>
    </row>
    <row r="9" spans="1:7" x14ac:dyDescent="0.3">
      <c r="A9">
        <v>19</v>
      </c>
      <c r="B9">
        <v>303729</v>
      </c>
      <c r="C9" t="s">
        <v>53</v>
      </c>
      <c r="D9">
        <v>9.5532786890000008</v>
      </c>
      <c r="E9">
        <v>120.7328153</v>
      </c>
      <c r="F9">
        <v>6.8654418539789486</v>
      </c>
      <c r="G9">
        <v>2505.8862767023161</v>
      </c>
    </row>
    <row r="10" spans="1:7" x14ac:dyDescent="0.3">
      <c r="A10">
        <v>22</v>
      </c>
      <c r="B10">
        <v>303732</v>
      </c>
      <c r="C10" t="s">
        <v>56</v>
      </c>
      <c r="D10">
        <v>20.698770490000001</v>
      </c>
      <c r="E10">
        <v>165.94765860000001</v>
      </c>
      <c r="F10">
        <v>20.445907730442119</v>
      </c>
      <c r="G10">
        <v>7462.7563216113722</v>
      </c>
    </row>
    <row r="11" spans="1:7" x14ac:dyDescent="0.3">
      <c r="A11">
        <v>24</v>
      </c>
      <c r="B11">
        <v>303734</v>
      </c>
      <c r="C11" t="s">
        <v>58</v>
      </c>
      <c r="D11">
        <v>22.290983610000001</v>
      </c>
      <c r="E11">
        <v>118.5546473</v>
      </c>
      <c r="F11">
        <v>15.730355356271611</v>
      </c>
      <c r="G11">
        <v>5741.5797050391393</v>
      </c>
    </row>
    <row r="12" spans="1:7" x14ac:dyDescent="0.3">
      <c r="A12">
        <v>28</v>
      </c>
      <c r="B12">
        <v>303738</v>
      </c>
      <c r="C12" t="s">
        <v>62</v>
      </c>
      <c r="D12">
        <v>17.514344260000001</v>
      </c>
      <c r="E12">
        <v>202.9061031</v>
      </c>
      <c r="F12">
        <v>21.153377036597941</v>
      </c>
      <c r="G12">
        <v>7720.9826183582472</v>
      </c>
    </row>
    <row r="13" spans="1:7" x14ac:dyDescent="0.3">
      <c r="A13">
        <v>31</v>
      </c>
      <c r="B13">
        <v>306600</v>
      </c>
      <c r="C13" t="s">
        <v>65</v>
      </c>
      <c r="D13">
        <v>25.475409840000001</v>
      </c>
      <c r="E13">
        <v>222.50446009999999</v>
      </c>
      <c r="F13">
        <v>33.740430430210878</v>
      </c>
      <c r="G13">
        <v>12315.25710702697</v>
      </c>
    </row>
    <row r="14" spans="1:7" x14ac:dyDescent="0.3">
      <c r="A14">
        <v>33</v>
      </c>
      <c r="B14">
        <v>306677</v>
      </c>
      <c r="C14" t="s">
        <v>67</v>
      </c>
      <c r="D14">
        <v>12.737704920000001</v>
      </c>
      <c r="E14">
        <v>239.0170707</v>
      </c>
      <c r="F14">
        <v>18.122195937020109</v>
      </c>
      <c r="G14">
        <v>6614.6015170123401</v>
      </c>
    </row>
    <row r="15" spans="1:7" x14ac:dyDescent="0.3">
      <c r="A15">
        <v>36</v>
      </c>
      <c r="B15">
        <v>305264</v>
      </c>
      <c r="C15" t="s">
        <v>70</v>
      </c>
      <c r="D15">
        <v>25.475409840000001</v>
      </c>
      <c r="E15">
        <v>157.868393</v>
      </c>
      <c r="F15">
        <v>23.939059597959449</v>
      </c>
      <c r="G15">
        <v>8737.7567532551984</v>
      </c>
    </row>
    <row r="16" spans="1:7" x14ac:dyDescent="0.3">
      <c r="A16">
        <v>41</v>
      </c>
      <c r="B16">
        <v>305271</v>
      </c>
      <c r="C16" t="s">
        <v>75</v>
      </c>
      <c r="D16">
        <v>49.358606559999998</v>
      </c>
      <c r="E16">
        <v>99.984063939999999</v>
      </c>
      <c r="F16">
        <v>29.375440918359189</v>
      </c>
      <c r="G16">
        <v>10722.0359352011</v>
      </c>
    </row>
    <row r="17" spans="1:7" x14ac:dyDescent="0.3">
      <c r="A17">
        <v>44</v>
      </c>
      <c r="B17">
        <v>307121</v>
      </c>
      <c r="C17" t="s">
        <v>78</v>
      </c>
      <c r="D17">
        <v>3.1844262300000001</v>
      </c>
      <c r="E17">
        <v>174.23462889999999</v>
      </c>
      <c r="F17">
        <v>3.3026031097825959</v>
      </c>
      <c r="G17">
        <v>1205.450135070648</v>
      </c>
    </row>
    <row r="18" spans="1:7" x14ac:dyDescent="0.3">
      <c r="A18">
        <v>46</v>
      </c>
      <c r="B18">
        <v>305156</v>
      </c>
      <c r="C18" t="s">
        <v>80</v>
      </c>
      <c r="D18">
        <v>38.213114750000003</v>
      </c>
      <c r="E18">
        <v>123.2967592</v>
      </c>
      <c r="F18">
        <v>28.044959569123321</v>
      </c>
      <c r="G18">
        <v>10236.410242730009</v>
      </c>
    </row>
    <row r="19" spans="1:7" x14ac:dyDescent="0.3">
      <c r="A19">
        <v>51</v>
      </c>
      <c r="B19">
        <v>308187</v>
      </c>
      <c r="C19" t="s">
        <v>85</v>
      </c>
      <c r="D19">
        <v>23.883196720000001</v>
      </c>
      <c r="E19">
        <v>101.1267331</v>
      </c>
      <c r="F19">
        <v>14.37636702546569</v>
      </c>
      <c r="G19">
        <v>5247.3739642949758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Summary_Statistics</vt:lpstr>
      <vt:lpstr>All_Stops</vt:lpstr>
      <vt:lpstr>Open_Stops</vt:lpstr>
      <vt:lpstr>Closed_Stops</vt:lpstr>
      <vt:lpstr>Stops_Gained_Ridership</vt:lpstr>
      <vt:lpstr>Walk_Cost_Details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Mruthunjay Mani</cp:lastModifiedBy>
  <dcterms:created xsi:type="dcterms:W3CDTF">2025-12-03T16:56:06Z</dcterms:created>
  <dcterms:modified xsi:type="dcterms:W3CDTF">2025-12-13T19:52:08Z</dcterms:modified>
</cp:coreProperties>
</file>