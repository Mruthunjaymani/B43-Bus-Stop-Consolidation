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ruthunjay Mani\URBAN TRANSPORTATION AND LOGISTICS SYSTEMS\PROJECT\CSV\FINAL OPTIMIZATION PROJECT\SOUTH\STOCHASTIC\"/>
    </mc:Choice>
  </mc:AlternateContent>
  <xr:revisionPtr revIDLastSave="0" documentId="13_ncr:1_{D994591D-B45B-404B-87DB-EACF895767B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mary_Statistics" sheetId="1" r:id="rId1"/>
    <sheet name="All_Stops" sheetId="2" r:id="rId2"/>
    <sheet name="Open_Stops" sheetId="3" r:id="rId3"/>
    <sheet name="Closed_Stops" sheetId="4" r:id="rId4"/>
    <sheet name="Stops_Gained_Ridership" sheetId="5" r:id="rId5"/>
    <sheet name="Walk_Cost_Detail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5" i="2" l="1"/>
  <c r="P54" i="2"/>
  <c r="P53" i="2"/>
</calcChain>
</file>

<file path=xl/sharedStrings.xml><?xml version="1.0" encoding="utf-8"?>
<sst xmlns="http://schemas.openxmlformats.org/spreadsheetml/2006/main" count="331" uniqueCount="85">
  <si>
    <t>metric</t>
  </si>
  <si>
    <t>baseline</t>
  </si>
  <si>
    <t>optimized</t>
  </si>
  <si>
    <t>change</t>
  </si>
  <si>
    <t>percent_change</t>
  </si>
  <si>
    <t>Stops</t>
  </si>
  <si>
    <t>Total Ridership</t>
  </si>
  <si>
    <t>Dwell Time (seconds)</t>
  </si>
  <si>
    <t>Acc/Decel Time (seconds)</t>
  </si>
  <si>
    <t>Total Travel Time (seconds)</t>
  </si>
  <si>
    <t>In-Vehicle Cost ($)</t>
  </si>
  <si>
    <t>Walk Cost ($)</t>
  </si>
  <si>
    <t>inf</t>
  </si>
  <si>
    <t>Total Daily Cost ($)</t>
  </si>
  <si>
    <t>Annual Cost ($)</t>
  </si>
  <si>
    <t>stop_index</t>
  </si>
  <si>
    <t>stop_id</t>
  </si>
  <si>
    <t>stop_sequence</t>
  </si>
  <si>
    <t>stop_name</t>
  </si>
  <si>
    <t>status</t>
  </si>
  <si>
    <t>baseline_ridership</t>
  </si>
  <si>
    <t>optimized_ridership</t>
  </si>
  <si>
    <t>ridership_change</t>
  </si>
  <si>
    <t>baseline_dwell_time</t>
  </si>
  <si>
    <t>optimized_dwell_time</t>
  </si>
  <si>
    <t>dwell_time_change</t>
  </si>
  <si>
    <t>baseline_accel_decel</t>
  </si>
  <si>
    <t>optimized_accel_decel</t>
  </si>
  <si>
    <t>walk_cost_daily</t>
  </si>
  <si>
    <t>walk_distance_to_nearest</t>
  </si>
  <si>
    <t>distance_to_next</t>
  </si>
  <si>
    <t>distance_from_prev</t>
  </si>
  <si>
    <t>BOX ST/MANHATTAN AV</t>
  </si>
  <si>
    <t>Open</t>
  </si>
  <si>
    <t>MANHATTAN AV/CLAY ST</t>
  </si>
  <si>
    <t>MANHATTAN AV/FREEMAN ST</t>
  </si>
  <si>
    <t>MANHATTAN AV/INDIA ST</t>
  </si>
  <si>
    <t>MANHATTAN AV/GREENPOINT AV</t>
  </si>
  <si>
    <t>MANHATTAN AV/CALYER ST</t>
  </si>
  <si>
    <t>MANHATTAN AV/MESEROLE AV</t>
  </si>
  <si>
    <t>Closed</t>
  </si>
  <si>
    <t>MANHATTAN AV/NORMAN AV</t>
  </si>
  <si>
    <t>MANHATTAN AV/NASSAU AV</t>
  </si>
  <si>
    <t>MANHATTAN AV/DRIGGS AV</t>
  </si>
  <si>
    <t>GRAHAM AV/ENGERT AV</t>
  </si>
  <si>
    <t>GRAHAM AV/MEEKER AV</t>
  </si>
  <si>
    <t>GRAHAM AV/RICHARDSON ST</t>
  </si>
  <si>
    <t>GRAHAM AV/JACKSON ST</t>
  </si>
  <si>
    <t>GRAHAM AV/METROPOLITAN AV</t>
  </si>
  <si>
    <t>GRAHAM AV/AINSLIE ST</t>
  </si>
  <si>
    <t>GRAHAM AV/GRAND ST</t>
  </si>
  <si>
    <t>GRAHAM AV/SCHOLES ST</t>
  </si>
  <si>
    <t>GRAHAM AV/JOHNSON AV</t>
  </si>
  <si>
    <t>GRAHAM AV/SEIGEL ST</t>
  </si>
  <si>
    <t>GRAHAM AV/COOK ST</t>
  </si>
  <si>
    <t>THORNTON ST/THROOP AV</t>
  </si>
  <si>
    <t>TOMPKINS AV/FLUSHING AV</t>
  </si>
  <si>
    <t>TOMPKINS AV/ELLERY ST</t>
  </si>
  <si>
    <t>TOMPKINS AV/MARTIN LUTHER KING JR PL</t>
  </si>
  <si>
    <t>TOMPKINS AV/MYRTLE AV</t>
  </si>
  <si>
    <t>TOMPKINS AV/WILLOUGHBY AV</t>
  </si>
  <si>
    <t>TOMPKINS AV/DEKALB AV</t>
  </si>
  <si>
    <t>TOMPKINS AV/LAFAYETTE AV</t>
  </si>
  <si>
    <t>TOMPKINS AV/GREENE AV</t>
  </si>
  <si>
    <t>TOMPKINS AV/GATES AV</t>
  </si>
  <si>
    <t>TOMPKINS AV/PUTNAM AV</t>
  </si>
  <si>
    <t>TOMPKINS AV/HALSEY ST</t>
  </si>
  <si>
    <t>TOMPKINS AV/FULTON ST</t>
  </si>
  <si>
    <t>BROOKLYN AV/FULTON ST</t>
  </si>
  <si>
    <t>BROOKLYN AV/ATLANTIC AV</t>
  </si>
  <si>
    <t>BROOKLYN AV/BERGEN ST</t>
  </si>
  <si>
    <t>BROOKLYN AV/PARK PL</t>
  </si>
  <si>
    <t>BROOKLYN AV/SAINT JOHNS PL</t>
  </si>
  <si>
    <t>BROOKLYN AV/EASTERN PKWY</t>
  </si>
  <si>
    <t>BROOKLYN AV/UNION ST</t>
  </si>
  <si>
    <t>BROOKLYN AV/CARROLL ST</t>
  </si>
  <si>
    <t>BROOKLYN AV/MONTGOMERY ST</t>
  </si>
  <si>
    <t>EMPIRE BLVD/BROOKLYN AV</t>
  </si>
  <si>
    <t>EMPIRE BLVD/NEW YORK AV</t>
  </si>
  <si>
    <t>EMPIRE BLVD/NOSTRAND AV</t>
  </si>
  <si>
    <t>EMPIRE BLVD/ROGERS AV</t>
  </si>
  <si>
    <t>EMPIRE BLVD/BEDFORD AV</t>
  </si>
  <si>
    <t>WASHINGTON AV/EMPIRE BLVD</t>
  </si>
  <si>
    <t>LINCOLN RD/OCEAN AV</t>
  </si>
  <si>
    <t>walk_cost_annual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</si>
</sst>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50</v>
      </c>
      <c r="C2">
        <v>35</v>
      </c>
      <c r="D2">
        <v>-15</v>
      </c>
      <c r="E2">
        <v>-30</v>
      </c>
    </row>
    <row r="3" spans="1:5" x14ac:dyDescent="0.3">
      <c r="A3" t="s">
        <v>6</v>
      </c>
      <c r="B3">
        <v>2238.6516460019998</v>
      </c>
      <c r="C3">
        <v>2238.6516460019998</v>
      </c>
      <c r="D3">
        <v>0</v>
      </c>
      <c r="E3">
        <v>0</v>
      </c>
    </row>
    <row r="4" spans="1:5" x14ac:dyDescent="0.3">
      <c r="A4" t="s">
        <v>7</v>
      </c>
      <c r="B4">
        <v>316.65120538999997</v>
      </c>
      <c r="C4">
        <v>241.65120539674709</v>
      </c>
      <c r="D4">
        <v>-74.999999993252914</v>
      </c>
      <c r="E4">
        <v>-23.685366964221711</v>
      </c>
    </row>
    <row r="5" spans="1:5" x14ac:dyDescent="0.3">
      <c r="A5" t="s">
        <v>8</v>
      </c>
      <c r="B5">
        <v>573.18860949999998</v>
      </c>
      <c r="C5">
        <v>526.56241857160637</v>
      </c>
      <c r="D5">
        <v>-46.626190928393612</v>
      </c>
      <c r="E5">
        <v>-8.1345285226561383</v>
      </c>
    </row>
    <row r="6" spans="1:5" x14ac:dyDescent="0.3">
      <c r="A6" t="s">
        <v>9</v>
      </c>
      <c r="B6">
        <v>3696.1482130200002</v>
      </c>
      <c r="C6">
        <v>3574.5220220983529</v>
      </c>
      <c r="D6">
        <v>-121.6261909216464</v>
      </c>
      <c r="E6">
        <v>-3.2906199619703478</v>
      </c>
    </row>
    <row r="7" spans="1:5" x14ac:dyDescent="0.3">
      <c r="A7" t="s">
        <v>10</v>
      </c>
      <c r="B7">
        <v>39073.500215571599</v>
      </c>
      <c r="C7">
        <v>37787.739817637463</v>
      </c>
      <c r="D7">
        <v>-1285.760397934137</v>
      </c>
      <c r="E7">
        <v>-3.2906199619703749</v>
      </c>
    </row>
    <row r="8" spans="1:5" x14ac:dyDescent="0.3">
      <c r="A8" t="s">
        <v>11</v>
      </c>
      <c r="B8">
        <v>0</v>
      </c>
      <c r="C8">
        <v>181.5959991208581</v>
      </c>
      <c r="D8">
        <v>181.5959991208581</v>
      </c>
      <c r="E8" t="s">
        <v>12</v>
      </c>
    </row>
    <row r="9" spans="1:5" x14ac:dyDescent="0.3">
      <c r="A9" t="s">
        <v>13</v>
      </c>
      <c r="B9">
        <v>39073.500215571599</v>
      </c>
      <c r="C9">
        <v>37969.335816758321</v>
      </c>
      <c r="D9">
        <v>-1104.164398813278</v>
      </c>
      <c r="E9">
        <v>-2.8258650817600568</v>
      </c>
    </row>
    <row r="10" spans="1:5" x14ac:dyDescent="0.3">
      <c r="A10" t="s">
        <v>14</v>
      </c>
      <c r="B10">
        <v>14261827.57868363</v>
      </c>
      <c r="C10">
        <v>13858807.573116791</v>
      </c>
      <c r="D10">
        <v>-403020.00556684658</v>
      </c>
      <c r="E10">
        <v>-2.8258650817600568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5"/>
  <sheetViews>
    <sheetView tabSelected="1" topLeftCell="A30" workbookViewId="0">
      <selection activeCell="P56" sqref="P56"/>
    </sheetView>
  </sheetViews>
  <sheetFormatPr defaultRowHeight="14.4" x14ac:dyDescent="0.3"/>
  <cols>
    <col min="15" max="15" width="23.21875" bestFit="1" customWidth="1"/>
    <col min="16" max="16" width="15.5546875" bestFit="1" customWidth="1"/>
  </cols>
  <sheetData>
    <row r="1" spans="1:17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 x14ac:dyDescent="0.3">
      <c r="A2">
        <v>0</v>
      </c>
      <c r="B2">
        <v>305287</v>
      </c>
      <c r="C2">
        <v>1</v>
      </c>
      <c r="D2" t="s">
        <v>32</v>
      </c>
      <c r="E2" t="s">
        <v>33</v>
      </c>
      <c r="F2">
        <v>84.387294350000005</v>
      </c>
      <c r="G2">
        <v>84.387294350000005</v>
      </c>
      <c r="H2">
        <v>0</v>
      </c>
      <c r="I2">
        <v>7.5124565040000002</v>
      </c>
      <c r="J2">
        <v>7.512456504182957</v>
      </c>
      <c r="K2">
        <v>1.829567608524485E-10</v>
      </c>
      <c r="L2">
        <v>11.46377219</v>
      </c>
      <c r="M2">
        <v>15.04464053061732</v>
      </c>
      <c r="N2">
        <v>0</v>
      </c>
      <c r="O2">
        <v>0</v>
      </c>
      <c r="P2">
        <v>109.668153</v>
      </c>
      <c r="Q2">
        <v>0</v>
      </c>
    </row>
    <row r="3" spans="1:17" x14ac:dyDescent="0.3">
      <c r="A3">
        <v>1</v>
      </c>
      <c r="B3">
        <v>308189</v>
      </c>
      <c r="C3">
        <v>2</v>
      </c>
      <c r="D3" t="s">
        <v>34</v>
      </c>
      <c r="E3" t="s">
        <v>33</v>
      </c>
      <c r="F3">
        <v>62.096312410000003</v>
      </c>
      <c r="G3">
        <v>62.096312410000003</v>
      </c>
      <c r="H3">
        <v>0</v>
      </c>
      <c r="I3">
        <v>6.8487887919999997</v>
      </c>
      <c r="J3">
        <v>6.8487887922227406</v>
      </c>
      <c r="K3">
        <v>2.2274093680607621E-10</v>
      </c>
      <c r="L3">
        <v>11.46377219</v>
      </c>
      <c r="M3">
        <v>15.04464053061732</v>
      </c>
      <c r="N3">
        <v>0</v>
      </c>
      <c r="O3">
        <v>0</v>
      </c>
      <c r="P3">
        <v>243.5605923</v>
      </c>
      <c r="Q3">
        <v>109.668153</v>
      </c>
    </row>
    <row r="4" spans="1:17" x14ac:dyDescent="0.3">
      <c r="A4">
        <v>2</v>
      </c>
      <c r="B4">
        <v>305167</v>
      </c>
      <c r="C4">
        <v>3</v>
      </c>
      <c r="D4" t="s">
        <v>35</v>
      </c>
      <c r="E4" t="s">
        <v>33</v>
      </c>
      <c r="F4">
        <v>62.096312410000003</v>
      </c>
      <c r="G4">
        <v>62.096312410000003</v>
      </c>
      <c r="H4">
        <v>0</v>
      </c>
      <c r="I4">
        <v>6.8487887919999997</v>
      </c>
      <c r="J4">
        <v>6.8487887922227406</v>
      </c>
      <c r="K4">
        <v>2.2274093680607621E-10</v>
      </c>
      <c r="L4">
        <v>11.46377219</v>
      </c>
      <c r="M4">
        <v>15.04464053061732</v>
      </c>
      <c r="N4">
        <v>0</v>
      </c>
      <c r="O4">
        <v>0</v>
      </c>
      <c r="P4">
        <v>186.34236480000001</v>
      </c>
      <c r="Q4">
        <v>243.5605923</v>
      </c>
    </row>
    <row r="5" spans="1:17" x14ac:dyDescent="0.3">
      <c r="A5">
        <v>3</v>
      </c>
      <c r="B5">
        <v>308188</v>
      </c>
      <c r="C5">
        <v>4</v>
      </c>
      <c r="D5" t="s">
        <v>36</v>
      </c>
      <c r="E5" t="s">
        <v>33</v>
      </c>
      <c r="F5">
        <v>76.426230489999995</v>
      </c>
      <c r="G5">
        <v>76.426230489999995</v>
      </c>
      <c r="H5">
        <v>0</v>
      </c>
      <c r="I5">
        <v>7.2754323550000004</v>
      </c>
      <c r="J5">
        <v>7.275432354643165</v>
      </c>
      <c r="K5">
        <v>-3.5683545007714201E-10</v>
      </c>
      <c r="L5">
        <v>11.46377219</v>
      </c>
      <c r="M5">
        <v>15.04464053061732</v>
      </c>
      <c r="N5">
        <v>0</v>
      </c>
      <c r="O5">
        <v>0</v>
      </c>
      <c r="P5">
        <v>289.70938760000001</v>
      </c>
      <c r="Q5">
        <v>186.34236480000001</v>
      </c>
    </row>
    <row r="6" spans="1:17" x14ac:dyDescent="0.3">
      <c r="A6">
        <v>4</v>
      </c>
      <c r="B6">
        <v>305170</v>
      </c>
      <c r="C6">
        <v>5</v>
      </c>
      <c r="D6" t="s">
        <v>37</v>
      </c>
      <c r="E6" t="s">
        <v>33</v>
      </c>
      <c r="F6">
        <v>105.0860666</v>
      </c>
      <c r="G6">
        <v>105.0860666</v>
      </c>
      <c r="H6">
        <v>0</v>
      </c>
      <c r="I6">
        <v>8.1287194780000007</v>
      </c>
      <c r="J6">
        <v>8.1287194779953662</v>
      </c>
      <c r="K6">
        <v>-4.6345149939952527E-12</v>
      </c>
      <c r="L6">
        <v>11.46377219</v>
      </c>
      <c r="M6">
        <v>15.04464053061732</v>
      </c>
      <c r="N6">
        <v>0</v>
      </c>
      <c r="O6">
        <v>0</v>
      </c>
      <c r="P6">
        <v>238.89143050000001</v>
      </c>
      <c r="Q6">
        <v>289.70938760000001</v>
      </c>
    </row>
    <row r="7" spans="1:17" x14ac:dyDescent="0.3">
      <c r="A7">
        <v>5</v>
      </c>
      <c r="B7">
        <v>305171</v>
      </c>
      <c r="C7">
        <v>6</v>
      </c>
      <c r="D7" t="s">
        <v>38</v>
      </c>
      <c r="E7" t="s">
        <v>33</v>
      </c>
      <c r="F7">
        <v>42.989754230000003</v>
      </c>
      <c r="G7">
        <v>65.280738400000004</v>
      </c>
      <c r="H7">
        <v>22.290984170000002</v>
      </c>
      <c r="I7">
        <v>6.2799306870000002</v>
      </c>
      <c r="J7">
        <v>6.9435984653173817</v>
      </c>
      <c r="K7">
        <v>0.66366777831738144</v>
      </c>
      <c r="L7">
        <v>11.46377219</v>
      </c>
      <c r="M7">
        <v>15.04464053061732</v>
      </c>
      <c r="N7">
        <v>0</v>
      </c>
      <c r="O7">
        <v>0</v>
      </c>
      <c r="P7">
        <v>127.675591</v>
      </c>
      <c r="Q7">
        <v>238.89143050000001</v>
      </c>
    </row>
    <row r="8" spans="1:17" x14ac:dyDescent="0.3">
      <c r="A8">
        <v>6</v>
      </c>
      <c r="B8">
        <v>305172</v>
      </c>
      <c r="C8">
        <v>7</v>
      </c>
      <c r="D8" t="s">
        <v>39</v>
      </c>
      <c r="E8" t="s">
        <v>40</v>
      </c>
      <c r="F8">
        <v>22.290984170000002</v>
      </c>
      <c r="G8">
        <v>0</v>
      </c>
      <c r="H8">
        <v>-22.290984170000002</v>
      </c>
      <c r="I8">
        <v>5.6636677779999998</v>
      </c>
      <c r="J8">
        <v>5</v>
      </c>
      <c r="K8">
        <v>-0.66366777799999976</v>
      </c>
      <c r="L8">
        <v>11.46377219</v>
      </c>
      <c r="M8">
        <v>0</v>
      </c>
      <c r="N8">
        <v>16.940562963549969</v>
      </c>
      <c r="O8">
        <v>127.675591</v>
      </c>
      <c r="P8">
        <v>200.17870389999999</v>
      </c>
      <c r="Q8">
        <v>127.675591</v>
      </c>
    </row>
    <row r="9" spans="1:17" x14ac:dyDescent="0.3">
      <c r="A9">
        <v>7</v>
      </c>
      <c r="B9">
        <v>305173</v>
      </c>
      <c r="C9">
        <v>8</v>
      </c>
      <c r="D9" t="s">
        <v>41</v>
      </c>
      <c r="E9" t="s">
        <v>33</v>
      </c>
      <c r="F9">
        <v>22.290984170000002</v>
      </c>
      <c r="G9">
        <v>22.290984170000002</v>
      </c>
      <c r="H9">
        <v>0</v>
      </c>
      <c r="I9">
        <v>5.6636677779999998</v>
      </c>
      <c r="J9">
        <v>5.6636677783538376</v>
      </c>
      <c r="K9">
        <v>3.5383784791065409E-10</v>
      </c>
      <c r="L9">
        <v>11.46377219</v>
      </c>
      <c r="M9">
        <v>15.04464053061732</v>
      </c>
      <c r="N9">
        <v>0</v>
      </c>
      <c r="O9">
        <v>0</v>
      </c>
      <c r="P9">
        <v>200.661136</v>
      </c>
      <c r="Q9">
        <v>200.17870389999999</v>
      </c>
    </row>
    <row r="10" spans="1:17" x14ac:dyDescent="0.3">
      <c r="A10">
        <v>8</v>
      </c>
      <c r="B10">
        <v>305174</v>
      </c>
      <c r="C10">
        <v>9</v>
      </c>
      <c r="D10" t="s">
        <v>42</v>
      </c>
      <c r="E10" t="s">
        <v>33</v>
      </c>
      <c r="F10">
        <v>11.145492089999999</v>
      </c>
      <c r="G10">
        <v>17.514344071</v>
      </c>
      <c r="H10">
        <v>6.3688519810000006</v>
      </c>
      <c r="I10">
        <v>5.3318338890000003</v>
      </c>
      <c r="J10">
        <v>5.5214532355448389</v>
      </c>
      <c r="K10">
        <v>0.18961934654483861</v>
      </c>
      <c r="L10">
        <v>11.46377219</v>
      </c>
      <c r="M10">
        <v>15.04464053061732</v>
      </c>
      <c r="N10">
        <v>0</v>
      </c>
      <c r="O10">
        <v>0</v>
      </c>
      <c r="P10">
        <v>141.04022430000001</v>
      </c>
      <c r="Q10">
        <v>200.661136</v>
      </c>
    </row>
    <row r="11" spans="1:17" x14ac:dyDescent="0.3">
      <c r="A11">
        <v>9</v>
      </c>
      <c r="B11">
        <v>305175</v>
      </c>
      <c r="C11">
        <v>10</v>
      </c>
      <c r="D11" t="s">
        <v>43</v>
      </c>
      <c r="E11" t="s">
        <v>40</v>
      </c>
      <c r="F11">
        <v>6.3688519809999997</v>
      </c>
      <c r="G11">
        <v>0</v>
      </c>
      <c r="H11">
        <v>-6.3688519809999997</v>
      </c>
      <c r="I11">
        <v>5.1896193459999997</v>
      </c>
      <c r="J11">
        <v>5</v>
      </c>
      <c r="K11">
        <v>-0.18961934599999969</v>
      </c>
      <c r="L11">
        <v>11.46377219</v>
      </c>
      <c r="M11">
        <v>0</v>
      </c>
      <c r="N11">
        <v>5.3468113805579716</v>
      </c>
      <c r="O11">
        <v>141.04022430000001</v>
      </c>
      <c r="P11">
        <v>293.6197477</v>
      </c>
      <c r="Q11">
        <v>141.04022430000001</v>
      </c>
    </row>
    <row r="12" spans="1:17" x14ac:dyDescent="0.3">
      <c r="A12">
        <v>10</v>
      </c>
      <c r="B12">
        <v>305299</v>
      </c>
      <c r="C12">
        <v>11</v>
      </c>
      <c r="D12" t="s">
        <v>44</v>
      </c>
      <c r="E12" t="s">
        <v>33</v>
      </c>
      <c r="F12">
        <v>70.057376270000006</v>
      </c>
      <c r="G12">
        <v>70.057376270000006</v>
      </c>
      <c r="H12">
        <v>0</v>
      </c>
      <c r="I12">
        <v>7.0858129419999996</v>
      </c>
      <c r="J12">
        <v>7.0858129417625344</v>
      </c>
      <c r="K12">
        <v>-2.3746604682628458E-10</v>
      </c>
      <c r="L12">
        <v>11.46377219</v>
      </c>
      <c r="M12">
        <v>15.04464053061732</v>
      </c>
      <c r="N12">
        <v>0</v>
      </c>
      <c r="O12">
        <v>0</v>
      </c>
      <c r="P12">
        <v>200.83078259999999</v>
      </c>
      <c r="Q12">
        <v>293.6197477</v>
      </c>
    </row>
    <row r="13" spans="1:17" x14ac:dyDescent="0.3">
      <c r="A13">
        <v>11</v>
      </c>
      <c r="B13">
        <v>305300</v>
      </c>
      <c r="C13">
        <v>12</v>
      </c>
      <c r="D13" t="s">
        <v>45</v>
      </c>
      <c r="E13" t="s">
        <v>33</v>
      </c>
      <c r="F13">
        <v>52.543032199999999</v>
      </c>
      <c r="G13">
        <v>52.543032199999999</v>
      </c>
      <c r="H13">
        <v>0</v>
      </c>
      <c r="I13">
        <v>6.5643597060000003</v>
      </c>
      <c r="J13">
        <v>6.5643597062474681</v>
      </c>
      <c r="K13">
        <v>2.4746782401052769E-10</v>
      </c>
      <c r="L13">
        <v>11.46377219</v>
      </c>
      <c r="M13">
        <v>15.04464053061732</v>
      </c>
      <c r="N13">
        <v>0</v>
      </c>
      <c r="O13">
        <v>0</v>
      </c>
      <c r="P13">
        <v>134.5430795</v>
      </c>
      <c r="Q13">
        <v>200.83078259999999</v>
      </c>
    </row>
    <row r="14" spans="1:17" x14ac:dyDescent="0.3">
      <c r="A14">
        <v>12</v>
      </c>
      <c r="B14">
        <v>305301</v>
      </c>
      <c r="C14">
        <v>13</v>
      </c>
      <c r="D14" t="s">
        <v>46</v>
      </c>
      <c r="E14" t="s">
        <v>33</v>
      </c>
      <c r="F14">
        <v>85.979508460000005</v>
      </c>
      <c r="G14">
        <v>85.979508460000005</v>
      </c>
      <c r="H14">
        <v>0</v>
      </c>
      <c r="I14">
        <v>7.5598613739999996</v>
      </c>
      <c r="J14">
        <v>7.5598613739270881</v>
      </c>
      <c r="K14">
        <v>-7.291145465160298E-11</v>
      </c>
      <c r="L14">
        <v>11.46377219</v>
      </c>
      <c r="M14">
        <v>15.04464053061732</v>
      </c>
      <c r="N14">
        <v>0</v>
      </c>
      <c r="O14">
        <v>0</v>
      </c>
      <c r="P14">
        <v>235.8127825</v>
      </c>
      <c r="Q14">
        <v>134.5430795</v>
      </c>
    </row>
    <row r="15" spans="1:17" x14ac:dyDescent="0.3">
      <c r="A15">
        <v>13</v>
      </c>
      <c r="B15">
        <v>306570</v>
      </c>
      <c r="C15">
        <v>14</v>
      </c>
      <c r="D15" t="s">
        <v>47</v>
      </c>
      <c r="E15" t="s">
        <v>33</v>
      </c>
      <c r="F15">
        <v>22.290984170000002</v>
      </c>
      <c r="G15">
        <v>22.290984170000002</v>
      </c>
      <c r="H15">
        <v>0</v>
      </c>
      <c r="I15">
        <v>5.6636677779999998</v>
      </c>
      <c r="J15">
        <v>5.6636677783538376</v>
      </c>
      <c r="K15">
        <v>3.5383784791065409E-10</v>
      </c>
      <c r="L15">
        <v>11.46377219</v>
      </c>
      <c r="M15">
        <v>15.04464053061732</v>
      </c>
      <c r="N15">
        <v>0</v>
      </c>
      <c r="O15">
        <v>0</v>
      </c>
      <c r="P15">
        <v>242.41991340000001</v>
      </c>
      <c r="Q15">
        <v>235.8127825</v>
      </c>
    </row>
    <row r="16" spans="1:17" x14ac:dyDescent="0.3">
      <c r="A16">
        <v>14</v>
      </c>
      <c r="B16">
        <v>305304</v>
      </c>
      <c r="C16">
        <v>15</v>
      </c>
      <c r="D16" t="s">
        <v>48</v>
      </c>
      <c r="E16" t="s">
        <v>33</v>
      </c>
      <c r="F16">
        <v>184.6967209</v>
      </c>
      <c r="G16">
        <v>199.02663898</v>
      </c>
      <c r="H16">
        <v>14.329918080000001</v>
      </c>
      <c r="I16">
        <v>10.49896144</v>
      </c>
      <c r="J16">
        <v>10.92560500324862</v>
      </c>
      <c r="K16">
        <v>0.4266435632486214</v>
      </c>
      <c r="L16">
        <v>11.46377219</v>
      </c>
      <c r="M16">
        <v>15.04464053061732</v>
      </c>
      <c r="N16">
        <v>0</v>
      </c>
      <c r="O16">
        <v>0</v>
      </c>
      <c r="P16">
        <v>156.9066765</v>
      </c>
      <c r="Q16">
        <v>242.41991340000001</v>
      </c>
    </row>
    <row r="17" spans="1:17" x14ac:dyDescent="0.3">
      <c r="A17">
        <v>15</v>
      </c>
      <c r="B17">
        <v>305305</v>
      </c>
      <c r="C17">
        <v>16</v>
      </c>
      <c r="D17" t="s">
        <v>49</v>
      </c>
      <c r="E17" t="s">
        <v>40</v>
      </c>
      <c r="F17">
        <v>14.329918080000001</v>
      </c>
      <c r="G17">
        <v>0</v>
      </c>
      <c r="H17">
        <v>-14.329918080000001</v>
      </c>
      <c r="I17">
        <v>5.4266435619999998</v>
      </c>
      <c r="J17">
        <v>5</v>
      </c>
      <c r="K17">
        <v>-0.42664356199999981</v>
      </c>
      <c r="L17">
        <v>11.46377219</v>
      </c>
      <c r="M17">
        <v>0</v>
      </c>
      <c r="N17">
        <v>13.383689407440841</v>
      </c>
      <c r="O17">
        <v>156.9066765</v>
      </c>
      <c r="P17">
        <v>167.4246067</v>
      </c>
      <c r="Q17">
        <v>156.9066765</v>
      </c>
    </row>
    <row r="18" spans="1:17" x14ac:dyDescent="0.3">
      <c r="A18">
        <v>16</v>
      </c>
      <c r="B18">
        <v>305306</v>
      </c>
      <c r="C18">
        <v>17</v>
      </c>
      <c r="D18" t="s">
        <v>50</v>
      </c>
      <c r="E18" t="s">
        <v>33</v>
      </c>
      <c r="F18">
        <v>39.805328240000001</v>
      </c>
      <c r="G18">
        <v>39.805328240000001</v>
      </c>
      <c r="H18">
        <v>0</v>
      </c>
      <c r="I18">
        <v>6.1851210139999999</v>
      </c>
      <c r="J18">
        <v>6.1851210138689021</v>
      </c>
      <c r="K18">
        <v>-1.3109779928299761E-10</v>
      </c>
      <c r="L18">
        <v>11.46377219</v>
      </c>
      <c r="M18">
        <v>15.04464053061732</v>
      </c>
      <c r="N18">
        <v>0</v>
      </c>
      <c r="O18">
        <v>0</v>
      </c>
      <c r="P18">
        <v>318.3476824</v>
      </c>
      <c r="Q18">
        <v>167.4246067</v>
      </c>
    </row>
    <row r="19" spans="1:17" x14ac:dyDescent="0.3">
      <c r="A19">
        <v>17</v>
      </c>
      <c r="B19">
        <v>305308</v>
      </c>
      <c r="C19">
        <v>18</v>
      </c>
      <c r="D19" t="s">
        <v>51</v>
      </c>
      <c r="E19" t="s">
        <v>40</v>
      </c>
      <c r="F19">
        <v>7.9610660959999997</v>
      </c>
      <c r="G19">
        <v>0</v>
      </c>
      <c r="H19">
        <v>-7.9610660959999997</v>
      </c>
      <c r="I19">
        <v>5.237024216</v>
      </c>
      <c r="J19">
        <v>5</v>
      </c>
      <c r="K19">
        <v>-0.23702421600000001</v>
      </c>
      <c r="L19">
        <v>11.46377219</v>
      </c>
      <c r="M19">
        <v>0</v>
      </c>
      <c r="N19">
        <v>11.55172300559194</v>
      </c>
      <c r="O19">
        <v>243.77256030000001</v>
      </c>
      <c r="P19">
        <v>243.77256030000001</v>
      </c>
      <c r="Q19">
        <v>318.3476824</v>
      </c>
    </row>
    <row r="20" spans="1:17" x14ac:dyDescent="0.3">
      <c r="A20">
        <v>18</v>
      </c>
      <c r="B20">
        <v>305310</v>
      </c>
      <c r="C20">
        <v>19</v>
      </c>
      <c r="D20" t="s">
        <v>52</v>
      </c>
      <c r="E20" t="s">
        <v>33</v>
      </c>
      <c r="F20">
        <v>15.922132189999999</v>
      </c>
      <c r="G20">
        <v>23.883198285999999</v>
      </c>
      <c r="H20">
        <v>7.9610660959999997</v>
      </c>
      <c r="I20">
        <v>5.474048432</v>
      </c>
      <c r="J20">
        <v>5.7110726482766054</v>
      </c>
      <c r="K20">
        <v>0.23702421627660539</v>
      </c>
      <c r="L20">
        <v>11.46377219</v>
      </c>
      <c r="M20">
        <v>15.04464053061732</v>
      </c>
      <c r="N20">
        <v>0</v>
      </c>
      <c r="O20">
        <v>0</v>
      </c>
      <c r="P20">
        <v>239.9416665</v>
      </c>
      <c r="Q20">
        <v>243.77256030000001</v>
      </c>
    </row>
    <row r="21" spans="1:17" x14ac:dyDescent="0.3">
      <c r="A21">
        <v>19</v>
      </c>
      <c r="B21">
        <v>305311</v>
      </c>
      <c r="C21">
        <v>20</v>
      </c>
      <c r="D21" t="s">
        <v>53</v>
      </c>
      <c r="E21" t="s">
        <v>40</v>
      </c>
      <c r="F21">
        <v>11.145492089999999</v>
      </c>
      <c r="G21">
        <v>0</v>
      </c>
      <c r="H21">
        <v>-11.145492089999999</v>
      </c>
      <c r="I21">
        <v>5.3318338890000003</v>
      </c>
      <c r="J21">
        <v>5</v>
      </c>
      <c r="K21">
        <v>-0.33183388900000033</v>
      </c>
      <c r="L21">
        <v>11.46377219</v>
      </c>
      <c r="M21">
        <v>0</v>
      </c>
      <c r="N21">
        <v>15.71577171625529</v>
      </c>
      <c r="O21">
        <v>236.8894641</v>
      </c>
      <c r="P21">
        <v>236.8894641</v>
      </c>
      <c r="Q21">
        <v>239.9416665</v>
      </c>
    </row>
    <row r="22" spans="1:17" x14ac:dyDescent="0.3">
      <c r="A22">
        <v>20</v>
      </c>
      <c r="B22">
        <v>305312</v>
      </c>
      <c r="C22">
        <v>21</v>
      </c>
      <c r="D22" t="s">
        <v>54</v>
      </c>
      <c r="E22" t="s">
        <v>33</v>
      </c>
      <c r="F22">
        <v>39.805328240000001</v>
      </c>
      <c r="G22">
        <v>50.950820329999999</v>
      </c>
      <c r="H22">
        <v>11.145492089999999</v>
      </c>
      <c r="I22">
        <v>6.1851210139999999</v>
      </c>
      <c r="J22">
        <v>6.5169549031946863</v>
      </c>
      <c r="K22">
        <v>0.33183388919468643</v>
      </c>
      <c r="L22">
        <v>11.46377219</v>
      </c>
      <c r="M22">
        <v>15.04464053061732</v>
      </c>
      <c r="N22">
        <v>0</v>
      </c>
      <c r="O22">
        <v>0</v>
      </c>
      <c r="P22">
        <v>221.00104440000001</v>
      </c>
      <c r="Q22">
        <v>236.8894641</v>
      </c>
    </row>
    <row r="23" spans="1:17" x14ac:dyDescent="0.3">
      <c r="A23">
        <v>21</v>
      </c>
      <c r="B23">
        <v>306696</v>
      </c>
      <c r="C23">
        <v>22</v>
      </c>
      <c r="D23" t="s">
        <v>55</v>
      </c>
      <c r="E23" t="s">
        <v>33</v>
      </c>
      <c r="F23">
        <v>52.543032199999999</v>
      </c>
      <c r="G23">
        <v>52.543032199999999</v>
      </c>
      <c r="H23">
        <v>0</v>
      </c>
      <c r="I23">
        <v>6.5643597060000003</v>
      </c>
      <c r="J23">
        <v>6.5643597062474681</v>
      </c>
      <c r="K23">
        <v>2.4746782401052769E-10</v>
      </c>
      <c r="L23">
        <v>11.46377219</v>
      </c>
      <c r="M23">
        <v>15.04464053061732</v>
      </c>
      <c r="N23">
        <v>0</v>
      </c>
      <c r="O23">
        <v>0</v>
      </c>
      <c r="P23">
        <v>269.94417729999998</v>
      </c>
      <c r="Q23">
        <v>221.00104440000001</v>
      </c>
    </row>
    <row r="24" spans="1:17" x14ac:dyDescent="0.3">
      <c r="A24">
        <v>22</v>
      </c>
      <c r="B24">
        <v>303762</v>
      </c>
      <c r="C24">
        <v>23</v>
      </c>
      <c r="D24" t="s">
        <v>56</v>
      </c>
      <c r="E24" t="s">
        <v>40</v>
      </c>
      <c r="F24">
        <v>6.3688519809999997</v>
      </c>
      <c r="G24">
        <v>0</v>
      </c>
      <c r="H24">
        <v>-6.3688519809999997</v>
      </c>
      <c r="I24">
        <v>5.1896193459999997</v>
      </c>
      <c r="J24">
        <v>5</v>
      </c>
      <c r="K24">
        <v>-0.18961934599999969</v>
      </c>
      <c r="L24">
        <v>11.46377219</v>
      </c>
      <c r="M24">
        <v>0</v>
      </c>
      <c r="N24">
        <v>4.3780118540912287</v>
      </c>
      <c r="O24">
        <v>115.4848619</v>
      </c>
      <c r="P24">
        <v>115.4848619</v>
      </c>
      <c r="Q24">
        <v>269.94417729999998</v>
      </c>
    </row>
    <row r="25" spans="1:17" x14ac:dyDescent="0.3">
      <c r="A25">
        <v>23</v>
      </c>
      <c r="B25">
        <v>308067</v>
      </c>
      <c r="C25">
        <v>24</v>
      </c>
      <c r="D25" t="s">
        <v>57</v>
      </c>
      <c r="E25" t="s">
        <v>33</v>
      </c>
      <c r="F25">
        <v>9.5532779720000001</v>
      </c>
      <c r="G25">
        <v>15.922129953000001</v>
      </c>
      <c r="H25">
        <v>6.3688519809999988</v>
      </c>
      <c r="I25">
        <v>5.2844290190000001</v>
      </c>
      <c r="J25">
        <v>5.4740483655625241</v>
      </c>
      <c r="K25">
        <v>0.18961934656252399</v>
      </c>
      <c r="L25">
        <v>11.46377219</v>
      </c>
      <c r="M25">
        <v>15.04464053061732</v>
      </c>
      <c r="N25">
        <v>0</v>
      </c>
      <c r="O25">
        <v>0</v>
      </c>
      <c r="P25">
        <v>210.20142899999999</v>
      </c>
      <c r="Q25">
        <v>115.4848619</v>
      </c>
    </row>
    <row r="26" spans="1:17" x14ac:dyDescent="0.3">
      <c r="A26">
        <v>24</v>
      </c>
      <c r="B26">
        <v>303764</v>
      </c>
      <c r="C26">
        <v>25</v>
      </c>
      <c r="D26" t="s">
        <v>58</v>
      </c>
      <c r="E26" t="s">
        <v>40</v>
      </c>
      <c r="F26">
        <v>19.10655818</v>
      </c>
      <c r="G26">
        <v>0</v>
      </c>
      <c r="H26">
        <v>-19.10655818</v>
      </c>
      <c r="I26">
        <v>5.5688581050000003</v>
      </c>
      <c r="J26">
        <v>5</v>
      </c>
      <c r="K26">
        <v>-0.56885810500000034</v>
      </c>
      <c r="L26">
        <v>11.46377219</v>
      </c>
      <c r="M26">
        <v>0</v>
      </c>
      <c r="N26">
        <v>19.028851193742572</v>
      </c>
      <c r="O26">
        <v>167.31673860000001</v>
      </c>
      <c r="P26">
        <v>167.31673860000001</v>
      </c>
      <c r="Q26">
        <v>210.20142899999999</v>
      </c>
    </row>
    <row r="27" spans="1:17" x14ac:dyDescent="0.3">
      <c r="A27">
        <v>25</v>
      </c>
      <c r="B27">
        <v>303765</v>
      </c>
      <c r="C27">
        <v>26</v>
      </c>
      <c r="D27" t="s">
        <v>59</v>
      </c>
      <c r="E27" t="s">
        <v>33</v>
      </c>
      <c r="F27">
        <v>17.51434407</v>
      </c>
      <c r="G27">
        <v>50.950820329999999</v>
      </c>
      <c r="H27">
        <v>33.436476259999999</v>
      </c>
      <c r="I27">
        <v>5.5214532360000002</v>
      </c>
      <c r="J27">
        <v>6.5169549031946863</v>
      </c>
      <c r="K27">
        <v>0.99550166719468614</v>
      </c>
      <c r="L27">
        <v>11.46377219</v>
      </c>
      <c r="M27">
        <v>15.04464053061732</v>
      </c>
      <c r="N27">
        <v>0</v>
      </c>
      <c r="O27">
        <v>0</v>
      </c>
      <c r="P27">
        <v>165.81568050000001</v>
      </c>
      <c r="Q27">
        <v>167.31673860000001</v>
      </c>
    </row>
    <row r="28" spans="1:17" x14ac:dyDescent="0.3">
      <c r="A28">
        <v>26</v>
      </c>
      <c r="B28">
        <v>303766</v>
      </c>
      <c r="C28">
        <v>27</v>
      </c>
      <c r="D28" t="s">
        <v>60</v>
      </c>
      <c r="E28" t="s">
        <v>40</v>
      </c>
      <c r="F28">
        <v>14.329918080000001</v>
      </c>
      <c r="G28">
        <v>0</v>
      </c>
      <c r="H28">
        <v>-14.329918080000001</v>
      </c>
      <c r="I28">
        <v>5.4266435619999998</v>
      </c>
      <c r="J28">
        <v>5</v>
      </c>
      <c r="K28">
        <v>-0.42664356199999981</v>
      </c>
      <c r="L28">
        <v>11.46377219</v>
      </c>
      <c r="M28">
        <v>0</v>
      </c>
      <c r="N28">
        <v>14.14360189252651</v>
      </c>
      <c r="O28">
        <v>165.81568050000001</v>
      </c>
      <c r="P28">
        <v>201.56913689999999</v>
      </c>
      <c r="Q28">
        <v>165.81568050000001</v>
      </c>
    </row>
    <row r="29" spans="1:17" x14ac:dyDescent="0.3">
      <c r="A29">
        <v>27</v>
      </c>
      <c r="B29">
        <v>308085</v>
      </c>
      <c r="C29">
        <v>28</v>
      </c>
      <c r="D29" t="s">
        <v>61</v>
      </c>
      <c r="E29" t="s">
        <v>33</v>
      </c>
      <c r="F29">
        <v>15.922132189999999</v>
      </c>
      <c r="G29">
        <v>15.922132189999999</v>
      </c>
      <c r="H29">
        <v>0</v>
      </c>
      <c r="I29">
        <v>5.474048432</v>
      </c>
      <c r="J29">
        <v>5.4740484321645546</v>
      </c>
      <c r="K29">
        <v>1.645554803531013E-10</v>
      </c>
      <c r="L29">
        <v>11.46377219</v>
      </c>
      <c r="M29">
        <v>15.04464053061732</v>
      </c>
      <c r="N29">
        <v>0</v>
      </c>
      <c r="O29">
        <v>0</v>
      </c>
      <c r="P29">
        <v>208.70128869999999</v>
      </c>
      <c r="Q29">
        <v>201.56913689999999</v>
      </c>
    </row>
    <row r="30" spans="1:17" x14ac:dyDescent="0.3">
      <c r="A30">
        <v>28</v>
      </c>
      <c r="B30">
        <v>303769</v>
      </c>
      <c r="C30">
        <v>29</v>
      </c>
      <c r="D30" t="s">
        <v>62</v>
      </c>
      <c r="E30" t="s">
        <v>33</v>
      </c>
      <c r="F30">
        <v>25.475410159999999</v>
      </c>
      <c r="G30">
        <v>38.21311412</v>
      </c>
      <c r="H30">
        <v>12.737703959999999</v>
      </c>
      <c r="I30">
        <v>5.7584774510000001</v>
      </c>
      <c r="J30">
        <v>6.1377161438270429</v>
      </c>
      <c r="K30">
        <v>0.37923869282704281</v>
      </c>
      <c r="L30">
        <v>11.46377219</v>
      </c>
      <c r="M30">
        <v>15.04464053061732</v>
      </c>
      <c r="N30">
        <v>0</v>
      </c>
      <c r="O30">
        <v>0</v>
      </c>
      <c r="P30">
        <v>172.19358449999999</v>
      </c>
      <c r="Q30">
        <v>208.70128869999999</v>
      </c>
    </row>
    <row r="31" spans="1:17" x14ac:dyDescent="0.3">
      <c r="A31">
        <v>29</v>
      </c>
      <c r="B31">
        <v>303770</v>
      </c>
      <c r="C31">
        <v>30</v>
      </c>
      <c r="D31" t="s">
        <v>63</v>
      </c>
      <c r="E31" t="s">
        <v>40</v>
      </c>
      <c r="F31">
        <v>12.737703959999999</v>
      </c>
      <c r="G31">
        <v>0</v>
      </c>
      <c r="H31">
        <v>-12.737703959999999</v>
      </c>
      <c r="I31">
        <v>5.3792386920000004</v>
      </c>
      <c r="J31">
        <v>5</v>
      </c>
      <c r="K31">
        <v>-0.37923869200000038</v>
      </c>
      <c r="L31">
        <v>11.46377219</v>
      </c>
      <c r="M31">
        <v>0</v>
      </c>
      <c r="N31">
        <v>13.05566013793003</v>
      </c>
      <c r="O31">
        <v>172.19358449999999</v>
      </c>
      <c r="P31">
        <v>234.88187379999999</v>
      </c>
      <c r="Q31">
        <v>172.19358449999999</v>
      </c>
    </row>
    <row r="32" spans="1:17" x14ac:dyDescent="0.3">
      <c r="A32">
        <v>30</v>
      </c>
      <c r="B32">
        <v>303771</v>
      </c>
      <c r="C32">
        <v>31</v>
      </c>
      <c r="D32" t="s">
        <v>64</v>
      </c>
      <c r="E32" t="s">
        <v>33</v>
      </c>
      <c r="F32">
        <v>11.145492089999999</v>
      </c>
      <c r="G32">
        <v>11.145492089999999</v>
      </c>
      <c r="H32">
        <v>0</v>
      </c>
      <c r="I32">
        <v>5.3318338890000003</v>
      </c>
      <c r="J32">
        <v>5.3318338893257833</v>
      </c>
      <c r="K32">
        <v>3.2578295616758618E-10</v>
      </c>
      <c r="L32">
        <v>11.46377219</v>
      </c>
      <c r="M32">
        <v>15.04464053061732</v>
      </c>
      <c r="N32">
        <v>0</v>
      </c>
      <c r="O32">
        <v>0</v>
      </c>
      <c r="P32">
        <v>254.9943797</v>
      </c>
      <c r="Q32">
        <v>234.88187379999999</v>
      </c>
    </row>
    <row r="33" spans="1:17" x14ac:dyDescent="0.3">
      <c r="A33">
        <v>31</v>
      </c>
      <c r="B33">
        <v>308023</v>
      </c>
      <c r="C33">
        <v>32</v>
      </c>
      <c r="D33" t="s">
        <v>65</v>
      </c>
      <c r="E33" t="s">
        <v>33</v>
      </c>
      <c r="F33">
        <v>20.698770060000001</v>
      </c>
      <c r="G33">
        <v>20.698770060000001</v>
      </c>
      <c r="H33">
        <v>0</v>
      </c>
      <c r="I33">
        <v>5.6162629089999996</v>
      </c>
      <c r="J33">
        <v>5.6162629086097056</v>
      </c>
      <c r="K33">
        <v>-3.9029313114724568E-10</v>
      </c>
      <c r="L33">
        <v>11.46377219</v>
      </c>
      <c r="M33">
        <v>15.04464053061732</v>
      </c>
      <c r="N33">
        <v>0</v>
      </c>
      <c r="O33">
        <v>0</v>
      </c>
      <c r="P33">
        <v>243.3548409</v>
      </c>
      <c r="Q33">
        <v>254.9943797</v>
      </c>
    </row>
    <row r="34" spans="1:17" x14ac:dyDescent="0.3">
      <c r="A34">
        <v>32</v>
      </c>
      <c r="B34">
        <v>303774</v>
      </c>
      <c r="C34">
        <v>33</v>
      </c>
      <c r="D34" t="s">
        <v>66</v>
      </c>
      <c r="E34" t="s">
        <v>33</v>
      </c>
      <c r="F34">
        <v>22.290984170000002</v>
      </c>
      <c r="G34">
        <v>22.290984170000002</v>
      </c>
      <c r="H34">
        <v>0</v>
      </c>
      <c r="I34">
        <v>5.6636677779999998</v>
      </c>
      <c r="J34">
        <v>5.6636677783538376</v>
      </c>
      <c r="K34">
        <v>3.5383784791065409E-10</v>
      </c>
      <c r="L34">
        <v>11.46377219</v>
      </c>
      <c r="M34">
        <v>15.04464053061732</v>
      </c>
      <c r="N34">
        <v>0</v>
      </c>
      <c r="O34">
        <v>0</v>
      </c>
      <c r="P34">
        <v>230.78630219999999</v>
      </c>
      <c r="Q34">
        <v>243.3548409</v>
      </c>
    </row>
    <row r="35" spans="1:17" x14ac:dyDescent="0.3">
      <c r="A35">
        <v>33</v>
      </c>
      <c r="B35">
        <v>303776</v>
      </c>
      <c r="C35">
        <v>34</v>
      </c>
      <c r="D35" t="s">
        <v>67</v>
      </c>
      <c r="E35" t="s">
        <v>40</v>
      </c>
      <c r="F35">
        <v>33.436476259999999</v>
      </c>
      <c r="G35">
        <v>0</v>
      </c>
      <c r="H35">
        <v>-33.436476259999999</v>
      </c>
      <c r="I35">
        <v>5.9955016680000002</v>
      </c>
      <c r="J35">
        <v>5</v>
      </c>
      <c r="K35">
        <v>-0.99550166800000017</v>
      </c>
      <c r="L35">
        <v>11.46377219</v>
      </c>
      <c r="M35">
        <v>0</v>
      </c>
      <c r="N35">
        <v>14.943717143674141</v>
      </c>
      <c r="O35">
        <v>75.084002889999994</v>
      </c>
      <c r="P35">
        <v>75.084002889999994</v>
      </c>
      <c r="Q35">
        <v>230.78630219999999</v>
      </c>
    </row>
    <row r="36" spans="1:17" x14ac:dyDescent="0.3">
      <c r="A36">
        <v>34</v>
      </c>
      <c r="B36">
        <v>303777</v>
      </c>
      <c r="C36">
        <v>35</v>
      </c>
      <c r="D36" t="s">
        <v>68</v>
      </c>
      <c r="E36" t="s">
        <v>33</v>
      </c>
      <c r="F36">
        <v>33.436476259999999</v>
      </c>
      <c r="G36">
        <v>66.872952519999998</v>
      </c>
      <c r="H36">
        <v>33.436476259999999</v>
      </c>
      <c r="I36">
        <v>5.9955016680000002</v>
      </c>
      <c r="J36">
        <v>6.9910033353592418</v>
      </c>
      <c r="K36">
        <v>0.99550166735924162</v>
      </c>
      <c r="L36">
        <v>11.46377219</v>
      </c>
      <c r="M36">
        <v>15.04464053061732</v>
      </c>
      <c r="N36">
        <v>0</v>
      </c>
      <c r="O36">
        <v>0</v>
      </c>
      <c r="P36">
        <v>223.07718070000001</v>
      </c>
      <c r="Q36">
        <v>75.084002889999994</v>
      </c>
    </row>
    <row r="37" spans="1:17" x14ac:dyDescent="0.3">
      <c r="A37">
        <v>35</v>
      </c>
      <c r="B37">
        <v>303778</v>
      </c>
      <c r="C37">
        <v>36</v>
      </c>
      <c r="D37" t="s">
        <v>69</v>
      </c>
      <c r="E37" t="s">
        <v>33</v>
      </c>
      <c r="F37">
        <v>60.504098300000003</v>
      </c>
      <c r="G37">
        <v>60.504098300000003</v>
      </c>
      <c r="H37">
        <v>0</v>
      </c>
      <c r="I37">
        <v>6.8013839220000003</v>
      </c>
      <c r="J37">
        <v>6.8013839224786086</v>
      </c>
      <c r="K37">
        <v>4.7860915231012768E-10</v>
      </c>
      <c r="L37">
        <v>11.46377219</v>
      </c>
      <c r="M37">
        <v>15.04464053061732</v>
      </c>
      <c r="N37">
        <v>0</v>
      </c>
      <c r="O37">
        <v>0</v>
      </c>
      <c r="P37">
        <v>254.2590155</v>
      </c>
      <c r="Q37">
        <v>223.07718070000001</v>
      </c>
    </row>
    <row r="38" spans="1:17" x14ac:dyDescent="0.3">
      <c r="A38">
        <v>36</v>
      </c>
      <c r="B38">
        <v>303779</v>
      </c>
      <c r="C38">
        <v>37</v>
      </c>
      <c r="D38" t="s">
        <v>70</v>
      </c>
      <c r="E38" t="s">
        <v>33</v>
      </c>
      <c r="F38">
        <v>14.329918080000001</v>
      </c>
      <c r="G38">
        <v>14.329918080000001</v>
      </c>
      <c r="H38">
        <v>0</v>
      </c>
      <c r="I38">
        <v>5.4266435619999998</v>
      </c>
      <c r="J38">
        <v>5.4266435624204243</v>
      </c>
      <c r="K38">
        <v>4.2042458403557248E-10</v>
      </c>
      <c r="L38">
        <v>11.46377219</v>
      </c>
      <c r="M38">
        <v>15.04464053061732</v>
      </c>
      <c r="N38">
        <v>0</v>
      </c>
      <c r="O38">
        <v>0</v>
      </c>
      <c r="P38">
        <v>298.30958809999998</v>
      </c>
      <c r="Q38">
        <v>254.2590155</v>
      </c>
    </row>
    <row r="39" spans="1:17" x14ac:dyDescent="0.3">
      <c r="A39">
        <v>37</v>
      </c>
      <c r="B39">
        <v>303780</v>
      </c>
      <c r="C39">
        <v>38</v>
      </c>
      <c r="D39" t="s">
        <v>71</v>
      </c>
      <c r="E39" t="s">
        <v>33</v>
      </c>
      <c r="F39">
        <v>17.51434407</v>
      </c>
      <c r="G39">
        <v>17.51434407</v>
      </c>
      <c r="H39">
        <v>0</v>
      </c>
      <c r="I39">
        <v>5.5214532360000002</v>
      </c>
      <c r="J39">
        <v>5.5214532355150654</v>
      </c>
      <c r="K39">
        <v>-4.8493475901523198E-10</v>
      </c>
      <c r="L39">
        <v>11.46377219</v>
      </c>
      <c r="M39">
        <v>15.04464053061732</v>
      </c>
      <c r="N39">
        <v>0</v>
      </c>
      <c r="O39">
        <v>0</v>
      </c>
      <c r="P39">
        <v>201.88374619999999</v>
      </c>
      <c r="Q39">
        <v>298.30958809999998</v>
      </c>
    </row>
    <row r="40" spans="1:17" x14ac:dyDescent="0.3">
      <c r="A40">
        <v>38</v>
      </c>
      <c r="B40">
        <v>303781</v>
      </c>
      <c r="C40">
        <v>39</v>
      </c>
      <c r="D40" t="s">
        <v>72</v>
      </c>
      <c r="E40" t="s">
        <v>40</v>
      </c>
      <c r="F40">
        <v>19.10655818</v>
      </c>
      <c r="G40">
        <v>0</v>
      </c>
      <c r="H40">
        <v>-19.10655818</v>
      </c>
      <c r="I40">
        <v>5.5688581050000003</v>
      </c>
      <c r="J40">
        <v>5</v>
      </c>
      <c r="K40">
        <v>-0.56885810500000034</v>
      </c>
      <c r="L40">
        <v>11.46377219</v>
      </c>
      <c r="M40">
        <v>0</v>
      </c>
      <c r="N40">
        <v>14.40471320177028</v>
      </c>
      <c r="O40">
        <v>126.6576531</v>
      </c>
      <c r="P40">
        <v>126.6576531</v>
      </c>
      <c r="Q40">
        <v>201.88374619999999</v>
      </c>
    </row>
    <row r="41" spans="1:17" x14ac:dyDescent="0.3">
      <c r="A41">
        <v>39</v>
      </c>
      <c r="B41">
        <v>303782</v>
      </c>
      <c r="C41">
        <v>40</v>
      </c>
      <c r="D41" t="s">
        <v>73</v>
      </c>
      <c r="E41" t="s">
        <v>33</v>
      </c>
      <c r="F41">
        <v>15.922132189999999</v>
      </c>
      <c r="G41">
        <v>38.213116360999997</v>
      </c>
      <c r="H41">
        <v>22.290984171000002</v>
      </c>
      <c r="I41">
        <v>5.474048432</v>
      </c>
      <c r="J41">
        <v>6.1377162105481657</v>
      </c>
      <c r="K41">
        <v>0.66366777854816572</v>
      </c>
      <c r="L41">
        <v>11.46377219</v>
      </c>
      <c r="M41">
        <v>15.04464053061732</v>
      </c>
      <c r="N41">
        <v>0</v>
      </c>
      <c r="O41">
        <v>0</v>
      </c>
      <c r="P41">
        <v>172.8332297</v>
      </c>
      <c r="Q41">
        <v>126.6576531</v>
      </c>
    </row>
    <row r="42" spans="1:17" x14ac:dyDescent="0.3">
      <c r="A42">
        <v>40</v>
      </c>
      <c r="B42">
        <v>303783</v>
      </c>
      <c r="C42">
        <v>41</v>
      </c>
      <c r="D42" t="s">
        <v>74</v>
      </c>
      <c r="E42" t="s">
        <v>40</v>
      </c>
      <c r="F42">
        <v>3.1844259909999999</v>
      </c>
      <c r="G42">
        <v>0</v>
      </c>
      <c r="H42">
        <v>-3.1844259909999999</v>
      </c>
      <c r="I42">
        <v>5.0948096730000003</v>
      </c>
      <c r="J42">
        <v>5</v>
      </c>
      <c r="K42">
        <v>-9.4809673000000316E-2</v>
      </c>
      <c r="L42">
        <v>11.46377219</v>
      </c>
      <c r="M42">
        <v>0</v>
      </c>
      <c r="N42">
        <v>3.2760394569354361</v>
      </c>
      <c r="O42">
        <v>172.8332297</v>
      </c>
      <c r="P42">
        <v>192.82176469999999</v>
      </c>
      <c r="Q42">
        <v>172.8332297</v>
      </c>
    </row>
    <row r="43" spans="1:17" x14ac:dyDescent="0.3">
      <c r="A43">
        <v>41</v>
      </c>
      <c r="B43">
        <v>303784</v>
      </c>
      <c r="C43">
        <v>42</v>
      </c>
      <c r="D43" t="s">
        <v>75</v>
      </c>
      <c r="E43" t="s">
        <v>33</v>
      </c>
      <c r="F43">
        <v>11.145492089999999</v>
      </c>
      <c r="G43">
        <v>11.145492089999999</v>
      </c>
      <c r="H43">
        <v>0</v>
      </c>
      <c r="I43">
        <v>5.3318338890000003</v>
      </c>
      <c r="J43">
        <v>5.3318338893257833</v>
      </c>
      <c r="K43">
        <v>3.2578295616758618E-10</v>
      </c>
      <c r="L43">
        <v>11.46377219</v>
      </c>
      <c r="M43">
        <v>15.04464053061732</v>
      </c>
      <c r="N43">
        <v>0</v>
      </c>
      <c r="O43">
        <v>0</v>
      </c>
      <c r="P43">
        <v>196.18537620000001</v>
      </c>
      <c r="Q43">
        <v>192.82176469999999</v>
      </c>
    </row>
    <row r="44" spans="1:17" x14ac:dyDescent="0.3">
      <c r="A44">
        <v>42</v>
      </c>
      <c r="B44">
        <v>303785</v>
      </c>
      <c r="C44">
        <v>43</v>
      </c>
      <c r="D44" t="s">
        <v>76</v>
      </c>
      <c r="E44" t="s">
        <v>40</v>
      </c>
      <c r="F44">
        <v>17.51434407</v>
      </c>
      <c r="G44">
        <v>0</v>
      </c>
      <c r="H44">
        <v>-17.51434407</v>
      </c>
      <c r="I44">
        <v>5.5214532360000002</v>
      </c>
      <c r="J44">
        <v>5</v>
      </c>
      <c r="K44">
        <v>-0.52145323600000015</v>
      </c>
      <c r="L44">
        <v>11.46377219</v>
      </c>
      <c r="M44">
        <v>0</v>
      </c>
      <c r="N44">
        <v>7.0190231576722697</v>
      </c>
      <c r="O44">
        <v>67.327436629999994</v>
      </c>
      <c r="P44">
        <v>67.327436629999994</v>
      </c>
      <c r="Q44">
        <v>196.18537620000001</v>
      </c>
    </row>
    <row r="45" spans="1:17" x14ac:dyDescent="0.3">
      <c r="A45">
        <v>43</v>
      </c>
      <c r="B45">
        <v>303786</v>
      </c>
      <c r="C45">
        <v>44</v>
      </c>
      <c r="D45" t="s">
        <v>77</v>
      </c>
      <c r="E45" t="s">
        <v>33</v>
      </c>
      <c r="F45">
        <v>28.65983615</v>
      </c>
      <c r="G45">
        <v>46.174180219999997</v>
      </c>
      <c r="H45">
        <v>17.51434407</v>
      </c>
      <c r="I45">
        <v>5.8532871249999996</v>
      </c>
      <c r="J45">
        <v>6.3747403600581842</v>
      </c>
      <c r="K45">
        <v>0.52145323505818464</v>
      </c>
      <c r="L45">
        <v>11.46377219</v>
      </c>
      <c r="M45">
        <v>15.04464053061732</v>
      </c>
      <c r="N45">
        <v>0</v>
      </c>
      <c r="O45">
        <v>0</v>
      </c>
      <c r="P45">
        <v>241.02116820000001</v>
      </c>
      <c r="Q45">
        <v>67.327436629999994</v>
      </c>
    </row>
    <row r="46" spans="1:17" x14ac:dyDescent="0.3">
      <c r="A46">
        <v>44</v>
      </c>
      <c r="B46">
        <v>303787</v>
      </c>
      <c r="C46">
        <v>45</v>
      </c>
      <c r="D46" t="s">
        <v>78</v>
      </c>
      <c r="E46" t="s">
        <v>33</v>
      </c>
      <c r="F46">
        <v>20.698770060000001</v>
      </c>
      <c r="G46">
        <v>20.698770060000001</v>
      </c>
      <c r="H46">
        <v>0</v>
      </c>
      <c r="I46">
        <v>5.6162629089999996</v>
      </c>
      <c r="J46">
        <v>5.6162629086097056</v>
      </c>
      <c r="K46">
        <v>-3.9029313114724568E-10</v>
      </c>
      <c r="L46">
        <v>11.46377219</v>
      </c>
      <c r="M46">
        <v>15.04464053061732</v>
      </c>
      <c r="N46">
        <v>0</v>
      </c>
      <c r="O46">
        <v>0</v>
      </c>
      <c r="P46">
        <v>233.93429130000001</v>
      </c>
      <c r="Q46">
        <v>241.02116820000001</v>
      </c>
    </row>
    <row r="47" spans="1:17" x14ac:dyDescent="0.3">
      <c r="A47">
        <v>45</v>
      </c>
      <c r="B47">
        <v>303788</v>
      </c>
      <c r="C47">
        <v>46</v>
      </c>
      <c r="D47" t="s">
        <v>79</v>
      </c>
      <c r="E47" t="s">
        <v>33</v>
      </c>
      <c r="F47">
        <v>265.8995893</v>
      </c>
      <c r="G47">
        <v>272.26844128099998</v>
      </c>
      <c r="H47">
        <v>6.3688519809999784</v>
      </c>
      <c r="I47">
        <v>12.916608269999999</v>
      </c>
      <c r="J47">
        <v>13.106227619326489</v>
      </c>
      <c r="K47">
        <v>0.18961934932648819</v>
      </c>
      <c r="L47">
        <v>11.46377219</v>
      </c>
      <c r="M47">
        <v>15.04464053061732</v>
      </c>
      <c r="N47">
        <v>0</v>
      </c>
      <c r="O47">
        <v>0</v>
      </c>
      <c r="P47">
        <v>200.0693042</v>
      </c>
      <c r="Q47">
        <v>233.93429130000001</v>
      </c>
    </row>
    <row r="48" spans="1:17" x14ac:dyDescent="0.3">
      <c r="A48">
        <v>46</v>
      </c>
      <c r="B48">
        <v>303789</v>
      </c>
      <c r="C48">
        <v>47</v>
      </c>
      <c r="D48" t="s">
        <v>80</v>
      </c>
      <c r="E48" t="s">
        <v>40</v>
      </c>
      <c r="F48">
        <v>6.3688519809999997</v>
      </c>
      <c r="G48">
        <v>0</v>
      </c>
      <c r="H48">
        <v>-6.3688519809999997</v>
      </c>
      <c r="I48">
        <v>5.1896193459999997</v>
      </c>
      <c r="J48">
        <v>5</v>
      </c>
      <c r="K48">
        <v>-0.18961934599999969</v>
      </c>
      <c r="L48">
        <v>11.46377219</v>
      </c>
      <c r="M48">
        <v>0</v>
      </c>
      <c r="N48">
        <v>7.5845939547110817</v>
      </c>
      <c r="O48">
        <v>200.0693042</v>
      </c>
      <c r="P48">
        <v>275.70325550000001</v>
      </c>
      <c r="Q48">
        <v>200.0693042</v>
      </c>
    </row>
    <row r="49" spans="1:17" x14ac:dyDescent="0.3">
      <c r="A49">
        <v>47</v>
      </c>
      <c r="B49">
        <v>901744</v>
      </c>
      <c r="C49">
        <v>48</v>
      </c>
      <c r="D49" t="s">
        <v>81</v>
      </c>
      <c r="E49" t="s">
        <v>33</v>
      </c>
      <c r="F49">
        <v>66.872950279999998</v>
      </c>
      <c r="G49">
        <v>66.872950279999998</v>
      </c>
      <c r="H49">
        <v>0</v>
      </c>
      <c r="I49">
        <v>6.9910032690000001</v>
      </c>
      <c r="J49">
        <v>6.9910032686678916</v>
      </c>
      <c r="K49">
        <v>-3.3210856287269048E-10</v>
      </c>
      <c r="L49">
        <v>11.46377219</v>
      </c>
      <c r="M49">
        <v>15.04464053061732</v>
      </c>
      <c r="N49">
        <v>0</v>
      </c>
      <c r="O49">
        <v>0</v>
      </c>
      <c r="P49">
        <v>336.83169800000002</v>
      </c>
      <c r="Q49">
        <v>275.70325550000001</v>
      </c>
    </row>
    <row r="50" spans="1:17" x14ac:dyDescent="0.3">
      <c r="A50">
        <v>48</v>
      </c>
      <c r="B50">
        <v>303791</v>
      </c>
      <c r="C50">
        <v>49</v>
      </c>
      <c r="D50" t="s">
        <v>82</v>
      </c>
      <c r="E50" t="s">
        <v>40</v>
      </c>
      <c r="F50">
        <v>11.145492089999999</v>
      </c>
      <c r="G50">
        <v>0</v>
      </c>
      <c r="H50">
        <v>-11.145492089999999</v>
      </c>
      <c r="I50">
        <v>5.3318338890000003</v>
      </c>
      <c r="J50">
        <v>5</v>
      </c>
      <c r="K50">
        <v>-0.33183388900000033</v>
      </c>
      <c r="L50">
        <v>11.46377219</v>
      </c>
      <c r="M50">
        <v>0</v>
      </c>
      <c r="N50">
        <v>20.823228654408531</v>
      </c>
      <c r="O50">
        <v>313.87599449999999</v>
      </c>
      <c r="P50">
        <v>313.87599449999999</v>
      </c>
      <c r="Q50">
        <v>336.83169800000002</v>
      </c>
    </row>
    <row r="51" spans="1:17" x14ac:dyDescent="0.3">
      <c r="A51">
        <v>49</v>
      </c>
      <c r="B51">
        <v>901735</v>
      </c>
      <c r="C51">
        <v>50</v>
      </c>
      <c r="D51" t="s">
        <v>83</v>
      </c>
      <c r="E51" t="s">
        <v>33</v>
      </c>
      <c r="F51">
        <v>345.51024569999998</v>
      </c>
      <c r="G51">
        <v>356.65573778999999</v>
      </c>
      <c r="H51">
        <v>11.145492089999999</v>
      </c>
      <c r="I51">
        <v>15.286850299999999</v>
      </c>
      <c r="J51">
        <v>15.61868418778919</v>
      </c>
      <c r="K51">
        <v>0.33183388778918582</v>
      </c>
      <c r="L51">
        <v>11.46377219</v>
      </c>
      <c r="M51">
        <v>15.04464053061732</v>
      </c>
      <c r="N51">
        <v>0</v>
      </c>
      <c r="O51">
        <v>0</v>
      </c>
      <c r="P51">
        <v>0</v>
      </c>
      <c r="Q51">
        <v>313.87599449999999</v>
      </c>
    </row>
    <row r="53" spans="1:17" x14ac:dyDescent="0.3">
      <c r="P53">
        <f>SUM(P2:P51)</f>
        <v>10314.35658942</v>
      </c>
    </row>
    <row r="54" spans="1:17" x14ac:dyDescent="0.3">
      <c r="P54">
        <f>P53/50</f>
        <v>206.28713178839999</v>
      </c>
    </row>
    <row r="55" spans="1:17" x14ac:dyDescent="0.3">
      <c r="P55">
        <f>P53/35</f>
        <v>294.69590255485713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"/>
  <sheetViews>
    <sheetView workbookViewId="0"/>
  </sheetViews>
  <sheetFormatPr defaultRowHeight="14.4" x14ac:dyDescent="0.3"/>
  <sheetData>
    <row r="1" spans="1:17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 x14ac:dyDescent="0.3">
      <c r="A2">
        <v>0</v>
      </c>
      <c r="B2">
        <v>305287</v>
      </c>
      <c r="C2">
        <v>1</v>
      </c>
      <c r="D2" t="s">
        <v>32</v>
      </c>
      <c r="E2" t="s">
        <v>33</v>
      </c>
      <c r="F2">
        <v>84.387294350000005</v>
      </c>
      <c r="G2">
        <v>84.387294350000005</v>
      </c>
      <c r="H2">
        <v>0</v>
      </c>
      <c r="I2">
        <v>7.5124565040000002</v>
      </c>
      <c r="J2">
        <v>7.512456504182957</v>
      </c>
      <c r="K2">
        <v>1.829567608524485E-10</v>
      </c>
      <c r="L2">
        <v>11.46377219</v>
      </c>
      <c r="M2">
        <v>15.04464053061732</v>
      </c>
      <c r="N2">
        <v>0</v>
      </c>
      <c r="O2">
        <v>0</v>
      </c>
      <c r="P2">
        <v>109.668153</v>
      </c>
      <c r="Q2">
        <v>0</v>
      </c>
    </row>
    <row r="3" spans="1:17" x14ac:dyDescent="0.3">
      <c r="A3">
        <v>1</v>
      </c>
      <c r="B3">
        <v>308189</v>
      </c>
      <c r="C3">
        <v>2</v>
      </c>
      <c r="D3" t="s">
        <v>34</v>
      </c>
      <c r="E3" t="s">
        <v>33</v>
      </c>
      <c r="F3">
        <v>62.096312410000003</v>
      </c>
      <c r="G3">
        <v>62.096312410000003</v>
      </c>
      <c r="H3">
        <v>0</v>
      </c>
      <c r="I3">
        <v>6.8487887919999997</v>
      </c>
      <c r="J3">
        <v>6.8487887922227406</v>
      </c>
      <c r="K3">
        <v>2.2274093680607621E-10</v>
      </c>
      <c r="L3">
        <v>11.46377219</v>
      </c>
      <c r="M3">
        <v>15.04464053061732</v>
      </c>
      <c r="N3">
        <v>0</v>
      </c>
      <c r="O3">
        <v>0</v>
      </c>
      <c r="P3">
        <v>243.5605923</v>
      </c>
      <c r="Q3">
        <v>109.668153</v>
      </c>
    </row>
    <row r="4" spans="1:17" x14ac:dyDescent="0.3">
      <c r="A4">
        <v>2</v>
      </c>
      <c r="B4">
        <v>305167</v>
      </c>
      <c r="C4">
        <v>3</v>
      </c>
      <c r="D4" t="s">
        <v>35</v>
      </c>
      <c r="E4" t="s">
        <v>33</v>
      </c>
      <c r="F4">
        <v>62.096312410000003</v>
      </c>
      <c r="G4">
        <v>62.096312410000003</v>
      </c>
      <c r="H4">
        <v>0</v>
      </c>
      <c r="I4">
        <v>6.8487887919999997</v>
      </c>
      <c r="J4">
        <v>6.8487887922227406</v>
      </c>
      <c r="K4">
        <v>2.2274093680607621E-10</v>
      </c>
      <c r="L4">
        <v>11.46377219</v>
      </c>
      <c r="M4">
        <v>15.04464053061732</v>
      </c>
      <c r="N4">
        <v>0</v>
      </c>
      <c r="O4">
        <v>0</v>
      </c>
      <c r="P4">
        <v>186.34236480000001</v>
      </c>
      <c r="Q4">
        <v>243.5605923</v>
      </c>
    </row>
    <row r="5" spans="1:17" x14ac:dyDescent="0.3">
      <c r="A5">
        <v>3</v>
      </c>
      <c r="B5">
        <v>308188</v>
      </c>
      <c r="C5">
        <v>4</v>
      </c>
      <c r="D5" t="s">
        <v>36</v>
      </c>
      <c r="E5" t="s">
        <v>33</v>
      </c>
      <c r="F5">
        <v>76.426230489999995</v>
      </c>
      <c r="G5">
        <v>76.426230489999995</v>
      </c>
      <c r="H5">
        <v>0</v>
      </c>
      <c r="I5">
        <v>7.2754323550000004</v>
      </c>
      <c r="J5">
        <v>7.275432354643165</v>
      </c>
      <c r="K5">
        <v>-3.5683545007714201E-10</v>
      </c>
      <c r="L5">
        <v>11.46377219</v>
      </c>
      <c r="M5">
        <v>15.04464053061732</v>
      </c>
      <c r="N5">
        <v>0</v>
      </c>
      <c r="O5">
        <v>0</v>
      </c>
      <c r="P5">
        <v>289.70938760000001</v>
      </c>
      <c r="Q5">
        <v>186.34236480000001</v>
      </c>
    </row>
    <row r="6" spans="1:17" x14ac:dyDescent="0.3">
      <c r="A6">
        <v>4</v>
      </c>
      <c r="B6">
        <v>305170</v>
      </c>
      <c r="C6">
        <v>5</v>
      </c>
      <c r="D6" t="s">
        <v>37</v>
      </c>
      <c r="E6" t="s">
        <v>33</v>
      </c>
      <c r="F6">
        <v>105.0860666</v>
      </c>
      <c r="G6">
        <v>105.0860666</v>
      </c>
      <c r="H6">
        <v>0</v>
      </c>
      <c r="I6">
        <v>8.1287194780000007</v>
      </c>
      <c r="J6">
        <v>8.1287194779953662</v>
      </c>
      <c r="K6">
        <v>-4.6345149939952527E-12</v>
      </c>
      <c r="L6">
        <v>11.46377219</v>
      </c>
      <c r="M6">
        <v>15.04464053061732</v>
      </c>
      <c r="N6">
        <v>0</v>
      </c>
      <c r="O6">
        <v>0</v>
      </c>
      <c r="P6">
        <v>238.89143050000001</v>
      </c>
      <c r="Q6">
        <v>289.70938760000001</v>
      </c>
    </row>
    <row r="7" spans="1:17" x14ac:dyDescent="0.3">
      <c r="A7">
        <v>5</v>
      </c>
      <c r="B7">
        <v>305171</v>
      </c>
      <c r="C7">
        <v>6</v>
      </c>
      <c r="D7" t="s">
        <v>38</v>
      </c>
      <c r="E7" t="s">
        <v>33</v>
      </c>
      <c r="F7">
        <v>42.989754230000003</v>
      </c>
      <c r="G7">
        <v>65.280738400000004</v>
      </c>
      <c r="H7">
        <v>22.290984170000002</v>
      </c>
      <c r="I7">
        <v>6.2799306870000002</v>
      </c>
      <c r="J7">
        <v>6.9435984653173817</v>
      </c>
      <c r="K7">
        <v>0.66366777831738144</v>
      </c>
      <c r="L7">
        <v>11.46377219</v>
      </c>
      <c r="M7">
        <v>15.04464053061732</v>
      </c>
      <c r="N7">
        <v>0</v>
      </c>
      <c r="O7">
        <v>0</v>
      </c>
      <c r="P7">
        <v>127.675591</v>
      </c>
      <c r="Q7">
        <v>238.89143050000001</v>
      </c>
    </row>
    <row r="8" spans="1:17" x14ac:dyDescent="0.3">
      <c r="A8">
        <v>7</v>
      </c>
      <c r="B8">
        <v>305173</v>
      </c>
      <c r="C8">
        <v>8</v>
      </c>
      <c r="D8" t="s">
        <v>41</v>
      </c>
      <c r="E8" t="s">
        <v>33</v>
      </c>
      <c r="F8">
        <v>22.290984170000002</v>
      </c>
      <c r="G8">
        <v>22.290984170000002</v>
      </c>
      <c r="H8">
        <v>0</v>
      </c>
      <c r="I8">
        <v>5.6636677779999998</v>
      </c>
      <c r="J8">
        <v>5.6636677783538376</v>
      </c>
      <c r="K8">
        <v>3.5383784791065409E-10</v>
      </c>
      <c r="L8">
        <v>11.46377219</v>
      </c>
      <c r="M8">
        <v>15.04464053061732</v>
      </c>
      <c r="N8">
        <v>0</v>
      </c>
      <c r="O8">
        <v>0</v>
      </c>
      <c r="P8">
        <v>200.661136</v>
      </c>
      <c r="Q8">
        <v>200.17870389999999</v>
      </c>
    </row>
    <row r="9" spans="1:17" x14ac:dyDescent="0.3">
      <c r="A9">
        <v>8</v>
      </c>
      <c r="B9">
        <v>305174</v>
      </c>
      <c r="C9">
        <v>9</v>
      </c>
      <c r="D9" t="s">
        <v>42</v>
      </c>
      <c r="E9" t="s">
        <v>33</v>
      </c>
      <c r="F9">
        <v>11.145492089999999</v>
      </c>
      <c r="G9">
        <v>17.514344071</v>
      </c>
      <c r="H9">
        <v>6.3688519810000006</v>
      </c>
      <c r="I9">
        <v>5.3318338890000003</v>
      </c>
      <c r="J9">
        <v>5.5214532355448389</v>
      </c>
      <c r="K9">
        <v>0.18961934654483861</v>
      </c>
      <c r="L9">
        <v>11.46377219</v>
      </c>
      <c r="M9">
        <v>15.04464053061732</v>
      </c>
      <c r="N9">
        <v>0</v>
      </c>
      <c r="O9">
        <v>0</v>
      </c>
      <c r="P9">
        <v>141.04022430000001</v>
      </c>
      <c r="Q9">
        <v>200.661136</v>
      </c>
    </row>
    <row r="10" spans="1:17" x14ac:dyDescent="0.3">
      <c r="A10">
        <v>10</v>
      </c>
      <c r="B10">
        <v>305299</v>
      </c>
      <c r="C10">
        <v>11</v>
      </c>
      <c r="D10" t="s">
        <v>44</v>
      </c>
      <c r="E10" t="s">
        <v>33</v>
      </c>
      <c r="F10">
        <v>70.057376270000006</v>
      </c>
      <c r="G10">
        <v>70.057376270000006</v>
      </c>
      <c r="H10">
        <v>0</v>
      </c>
      <c r="I10">
        <v>7.0858129419999996</v>
      </c>
      <c r="J10">
        <v>7.0858129417625344</v>
      </c>
      <c r="K10">
        <v>-2.3746604682628458E-10</v>
      </c>
      <c r="L10">
        <v>11.46377219</v>
      </c>
      <c r="M10">
        <v>15.04464053061732</v>
      </c>
      <c r="N10">
        <v>0</v>
      </c>
      <c r="O10">
        <v>0</v>
      </c>
      <c r="P10">
        <v>200.83078259999999</v>
      </c>
      <c r="Q10">
        <v>293.6197477</v>
      </c>
    </row>
    <row r="11" spans="1:17" x14ac:dyDescent="0.3">
      <c r="A11">
        <v>11</v>
      </c>
      <c r="B11">
        <v>305300</v>
      </c>
      <c r="C11">
        <v>12</v>
      </c>
      <c r="D11" t="s">
        <v>45</v>
      </c>
      <c r="E11" t="s">
        <v>33</v>
      </c>
      <c r="F11">
        <v>52.543032199999999</v>
      </c>
      <c r="G11">
        <v>52.543032199999999</v>
      </c>
      <c r="H11">
        <v>0</v>
      </c>
      <c r="I11">
        <v>6.5643597060000003</v>
      </c>
      <c r="J11">
        <v>6.5643597062474681</v>
      </c>
      <c r="K11">
        <v>2.4746782401052769E-10</v>
      </c>
      <c r="L11">
        <v>11.46377219</v>
      </c>
      <c r="M11">
        <v>15.04464053061732</v>
      </c>
      <c r="N11">
        <v>0</v>
      </c>
      <c r="O11">
        <v>0</v>
      </c>
      <c r="P11">
        <v>134.5430795</v>
      </c>
      <c r="Q11">
        <v>200.83078259999999</v>
      </c>
    </row>
    <row r="12" spans="1:17" x14ac:dyDescent="0.3">
      <c r="A12">
        <v>12</v>
      </c>
      <c r="B12">
        <v>305301</v>
      </c>
      <c r="C12">
        <v>13</v>
      </c>
      <c r="D12" t="s">
        <v>46</v>
      </c>
      <c r="E12" t="s">
        <v>33</v>
      </c>
      <c r="F12">
        <v>85.979508460000005</v>
      </c>
      <c r="G12">
        <v>85.979508460000005</v>
      </c>
      <c r="H12">
        <v>0</v>
      </c>
      <c r="I12">
        <v>7.5598613739999996</v>
      </c>
      <c r="J12">
        <v>7.5598613739270881</v>
      </c>
      <c r="K12">
        <v>-7.291145465160298E-11</v>
      </c>
      <c r="L12">
        <v>11.46377219</v>
      </c>
      <c r="M12">
        <v>15.04464053061732</v>
      </c>
      <c r="N12">
        <v>0</v>
      </c>
      <c r="O12">
        <v>0</v>
      </c>
      <c r="P12">
        <v>235.8127825</v>
      </c>
      <c r="Q12">
        <v>134.5430795</v>
      </c>
    </row>
    <row r="13" spans="1:17" x14ac:dyDescent="0.3">
      <c r="A13">
        <v>13</v>
      </c>
      <c r="B13">
        <v>306570</v>
      </c>
      <c r="C13">
        <v>14</v>
      </c>
      <c r="D13" t="s">
        <v>47</v>
      </c>
      <c r="E13" t="s">
        <v>33</v>
      </c>
      <c r="F13">
        <v>22.290984170000002</v>
      </c>
      <c r="G13">
        <v>22.290984170000002</v>
      </c>
      <c r="H13">
        <v>0</v>
      </c>
      <c r="I13">
        <v>5.6636677779999998</v>
      </c>
      <c r="J13">
        <v>5.6636677783538376</v>
      </c>
      <c r="K13">
        <v>3.5383784791065409E-10</v>
      </c>
      <c r="L13">
        <v>11.46377219</v>
      </c>
      <c r="M13">
        <v>15.04464053061732</v>
      </c>
      <c r="N13">
        <v>0</v>
      </c>
      <c r="O13">
        <v>0</v>
      </c>
      <c r="P13">
        <v>242.41991340000001</v>
      </c>
      <c r="Q13">
        <v>235.8127825</v>
      </c>
    </row>
    <row r="14" spans="1:17" x14ac:dyDescent="0.3">
      <c r="A14">
        <v>14</v>
      </c>
      <c r="B14">
        <v>305304</v>
      </c>
      <c r="C14">
        <v>15</v>
      </c>
      <c r="D14" t="s">
        <v>48</v>
      </c>
      <c r="E14" t="s">
        <v>33</v>
      </c>
      <c r="F14">
        <v>184.6967209</v>
      </c>
      <c r="G14">
        <v>199.02663898</v>
      </c>
      <c r="H14">
        <v>14.329918080000001</v>
      </c>
      <c r="I14">
        <v>10.49896144</v>
      </c>
      <c r="J14">
        <v>10.92560500324862</v>
      </c>
      <c r="K14">
        <v>0.4266435632486214</v>
      </c>
      <c r="L14">
        <v>11.46377219</v>
      </c>
      <c r="M14">
        <v>15.04464053061732</v>
      </c>
      <c r="N14">
        <v>0</v>
      </c>
      <c r="O14">
        <v>0</v>
      </c>
      <c r="P14">
        <v>156.9066765</v>
      </c>
      <c r="Q14">
        <v>242.41991340000001</v>
      </c>
    </row>
    <row r="15" spans="1:17" x14ac:dyDescent="0.3">
      <c r="A15">
        <v>16</v>
      </c>
      <c r="B15">
        <v>305306</v>
      </c>
      <c r="C15">
        <v>17</v>
      </c>
      <c r="D15" t="s">
        <v>50</v>
      </c>
      <c r="E15" t="s">
        <v>33</v>
      </c>
      <c r="F15">
        <v>39.805328240000001</v>
      </c>
      <c r="G15">
        <v>39.805328240000001</v>
      </c>
      <c r="H15">
        <v>0</v>
      </c>
      <c r="I15">
        <v>6.1851210139999999</v>
      </c>
      <c r="J15">
        <v>6.1851210138689021</v>
      </c>
      <c r="K15">
        <v>-1.3109779928299761E-10</v>
      </c>
      <c r="L15">
        <v>11.46377219</v>
      </c>
      <c r="M15">
        <v>15.04464053061732</v>
      </c>
      <c r="N15">
        <v>0</v>
      </c>
      <c r="O15">
        <v>0</v>
      </c>
      <c r="P15">
        <v>318.3476824</v>
      </c>
      <c r="Q15">
        <v>167.4246067</v>
      </c>
    </row>
    <row r="16" spans="1:17" x14ac:dyDescent="0.3">
      <c r="A16">
        <v>18</v>
      </c>
      <c r="B16">
        <v>305310</v>
      </c>
      <c r="C16">
        <v>19</v>
      </c>
      <c r="D16" t="s">
        <v>52</v>
      </c>
      <c r="E16" t="s">
        <v>33</v>
      </c>
      <c r="F16">
        <v>15.922132189999999</v>
      </c>
      <c r="G16">
        <v>23.883198285999999</v>
      </c>
      <c r="H16">
        <v>7.9610660959999997</v>
      </c>
      <c r="I16">
        <v>5.474048432</v>
      </c>
      <c r="J16">
        <v>5.7110726482766054</v>
      </c>
      <c r="K16">
        <v>0.23702421627660539</v>
      </c>
      <c r="L16">
        <v>11.46377219</v>
      </c>
      <c r="M16">
        <v>15.04464053061732</v>
      </c>
      <c r="N16">
        <v>0</v>
      </c>
      <c r="O16">
        <v>0</v>
      </c>
      <c r="P16">
        <v>239.9416665</v>
      </c>
      <c r="Q16">
        <v>243.77256030000001</v>
      </c>
    </row>
    <row r="17" spans="1:17" x14ac:dyDescent="0.3">
      <c r="A17">
        <v>20</v>
      </c>
      <c r="B17">
        <v>305312</v>
      </c>
      <c r="C17">
        <v>21</v>
      </c>
      <c r="D17" t="s">
        <v>54</v>
      </c>
      <c r="E17" t="s">
        <v>33</v>
      </c>
      <c r="F17">
        <v>39.805328240000001</v>
      </c>
      <c r="G17">
        <v>50.950820329999999</v>
      </c>
      <c r="H17">
        <v>11.145492089999999</v>
      </c>
      <c r="I17">
        <v>6.1851210139999999</v>
      </c>
      <c r="J17">
        <v>6.5169549031946863</v>
      </c>
      <c r="K17">
        <v>0.33183388919468643</v>
      </c>
      <c r="L17">
        <v>11.46377219</v>
      </c>
      <c r="M17">
        <v>15.04464053061732</v>
      </c>
      <c r="N17">
        <v>0</v>
      </c>
      <c r="O17">
        <v>0</v>
      </c>
      <c r="P17">
        <v>221.00104440000001</v>
      </c>
      <c r="Q17">
        <v>236.8894641</v>
      </c>
    </row>
    <row r="18" spans="1:17" x14ac:dyDescent="0.3">
      <c r="A18">
        <v>21</v>
      </c>
      <c r="B18">
        <v>306696</v>
      </c>
      <c r="C18">
        <v>22</v>
      </c>
      <c r="D18" t="s">
        <v>55</v>
      </c>
      <c r="E18" t="s">
        <v>33</v>
      </c>
      <c r="F18">
        <v>52.543032199999999</v>
      </c>
      <c r="G18">
        <v>52.543032199999999</v>
      </c>
      <c r="H18">
        <v>0</v>
      </c>
      <c r="I18">
        <v>6.5643597060000003</v>
      </c>
      <c r="J18">
        <v>6.5643597062474681</v>
      </c>
      <c r="K18">
        <v>2.4746782401052769E-10</v>
      </c>
      <c r="L18">
        <v>11.46377219</v>
      </c>
      <c r="M18">
        <v>15.04464053061732</v>
      </c>
      <c r="N18">
        <v>0</v>
      </c>
      <c r="O18">
        <v>0</v>
      </c>
      <c r="P18">
        <v>269.94417729999998</v>
      </c>
      <c r="Q18">
        <v>221.00104440000001</v>
      </c>
    </row>
    <row r="19" spans="1:17" x14ac:dyDescent="0.3">
      <c r="A19">
        <v>23</v>
      </c>
      <c r="B19">
        <v>308067</v>
      </c>
      <c r="C19">
        <v>24</v>
      </c>
      <c r="D19" t="s">
        <v>57</v>
      </c>
      <c r="E19" t="s">
        <v>33</v>
      </c>
      <c r="F19">
        <v>9.5532779720000001</v>
      </c>
      <c r="G19">
        <v>15.922129953000001</v>
      </c>
      <c r="H19">
        <v>6.3688519809999988</v>
      </c>
      <c r="I19">
        <v>5.2844290190000001</v>
      </c>
      <c r="J19">
        <v>5.4740483655625241</v>
      </c>
      <c r="K19">
        <v>0.18961934656252399</v>
      </c>
      <c r="L19">
        <v>11.46377219</v>
      </c>
      <c r="M19">
        <v>15.04464053061732</v>
      </c>
      <c r="N19">
        <v>0</v>
      </c>
      <c r="O19">
        <v>0</v>
      </c>
      <c r="P19">
        <v>210.20142899999999</v>
      </c>
      <c r="Q19">
        <v>115.4848619</v>
      </c>
    </row>
    <row r="20" spans="1:17" x14ac:dyDescent="0.3">
      <c r="A20">
        <v>25</v>
      </c>
      <c r="B20">
        <v>303765</v>
      </c>
      <c r="C20">
        <v>26</v>
      </c>
      <c r="D20" t="s">
        <v>59</v>
      </c>
      <c r="E20" t="s">
        <v>33</v>
      </c>
      <c r="F20">
        <v>17.51434407</v>
      </c>
      <c r="G20">
        <v>50.950820329999999</v>
      </c>
      <c r="H20">
        <v>33.436476259999999</v>
      </c>
      <c r="I20">
        <v>5.5214532360000002</v>
      </c>
      <c r="J20">
        <v>6.5169549031946863</v>
      </c>
      <c r="K20">
        <v>0.99550166719468614</v>
      </c>
      <c r="L20">
        <v>11.46377219</v>
      </c>
      <c r="M20">
        <v>15.04464053061732</v>
      </c>
      <c r="N20">
        <v>0</v>
      </c>
      <c r="O20">
        <v>0</v>
      </c>
      <c r="P20">
        <v>165.81568050000001</v>
      </c>
      <c r="Q20">
        <v>167.31673860000001</v>
      </c>
    </row>
    <row r="21" spans="1:17" x14ac:dyDescent="0.3">
      <c r="A21">
        <v>27</v>
      </c>
      <c r="B21">
        <v>308085</v>
      </c>
      <c r="C21">
        <v>28</v>
      </c>
      <c r="D21" t="s">
        <v>61</v>
      </c>
      <c r="E21" t="s">
        <v>33</v>
      </c>
      <c r="F21">
        <v>15.922132189999999</v>
      </c>
      <c r="G21">
        <v>15.922132189999999</v>
      </c>
      <c r="H21">
        <v>0</v>
      </c>
      <c r="I21">
        <v>5.474048432</v>
      </c>
      <c r="J21">
        <v>5.4740484321645546</v>
      </c>
      <c r="K21">
        <v>1.645554803531013E-10</v>
      </c>
      <c r="L21">
        <v>11.46377219</v>
      </c>
      <c r="M21">
        <v>15.04464053061732</v>
      </c>
      <c r="N21">
        <v>0</v>
      </c>
      <c r="O21">
        <v>0</v>
      </c>
      <c r="P21">
        <v>208.70128869999999</v>
      </c>
      <c r="Q21">
        <v>201.56913689999999</v>
      </c>
    </row>
    <row r="22" spans="1:17" x14ac:dyDescent="0.3">
      <c r="A22">
        <v>28</v>
      </c>
      <c r="B22">
        <v>303769</v>
      </c>
      <c r="C22">
        <v>29</v>
      </c>
      <c r="D22" t="s">
        <v>62</v>
      </c>
      <c r="E22" t="s">
        <v>33</v>
      </c>
      <c r="F22">
        <v>25.475410159999999</v>
      </c>
      <c r="G22">
        <v>38.21311412</v>
      </c>
      <c r="H22">
        <v>12.737703959999999</v>
      </c>
      <c r="I22">
        <v>5.7584774510000001</v>
      </c>
      <c r="J22">
        <v>6.1377161438270429</v>
      </c>
      <c r="K22">
        <v>0.37923869282704281</v>
      </c>
      <c r="L22">
        <v>11.46377219</v>
      </c>
      <c r="M22">
        <v>15.04464053061732</v>
      </c>
      <c r="N22">
        <v>0</v>
      </c>
      <c r="O22">
        <v>0</v>
      </c>
      <c r="P22">
        <v>172.19358449999999</v>
      </c>
      <c r="Q22">
        <v>208.70128869999999</v>
      </c>
    </row>
    <row r="23" spans="1:17" x14ac:dyDescent="0.3">
      <c r="A23">
        <v>30</v>
      </c>
      <c r="B23">
        <v>303771</v>
      </c>
      <c r="C23">
        <v>31</v>
      </c>
      <c r="D23" t="s">
        <v>64</v>
      </c>
      <c r="E23" t="s">
        <v>33</v>
      </c>
      <c r="F23">
        <v>11.145492089999999</v>
      </c>
      <c r="G23">
        <v>11.145492089999999</v>
      </c>
      <c r="H23">
        <v>0</v>
      </c>
      <c r="I23">
        <v>5.3318338890000003</v>
      </c>
      <c r="J23">
        <v>5.3318338893257833</v>
      </c>
      <c r="K23">
        <v>3.2578295616758618E-10</v>
      </c>
      <c r="L23">
        <v>11.46377219</v>
      </c>
      <c r="M23">
        <v>15.04464053061732</v>
      </c>
      <c r="N23">
        <v>0</v>
      </c>
      <c r="O23">
        <v>0</v>
      </c>
      <c r="P23">
        <v>254.9943797</v>
      </c>
      <c r="Q23">
        <v>234.88187379999999</v>
      </c>
    </row>
    <row r="24" spans="1:17" x14ac:dyDescent="0.3">
      <c r="A24">
        <v>31</v>
      </c>
      <c r="B24">
        <v>308023</v>
      </c>
      <c r="C24">
        <v>32</v>
      </c>
      <c r="D24" t="s">
        <v>65</v>
      </c>
      <c r="E24" t="s">
        <v>33</v>
      </c>
      <c r="F24">
        <v>20.698770060000001</v>
      </c>
      <c r="G24">
        <v>20.698770060000001</v>
      </c>
      <c r="H24">
        <v>0</v>
      </c>
      <c r="I24">
        <v>5.6162629089999996</v>
      </c>
      <c r="J24">
        <v>5.6162629086097056</v>
      </c>
      <c r="K24">
        <v>-3.9029313114724568E-10</v>
      </c>
      <c r="L24">
        <v>11.46377219</v>
      </c>
      <c r="M24">
        <v>15.04464053061732</v>
      </c>
      <c r="N24">
        <v>0</v>
      </c>
      <c r="O24">
        <v>0</v>
      </c>
      <c r="P24">
        <v>243.3548409</v>
      </c>
      <c r="Q24">
        <v>254.9943797</v>
      </c>
    </row>
    <row r="25" spans="1:17" x14ac:dyDescent="0.3">
      <c r="A25">
        <v>32</v>
      </c>
      <c r="B25">
        <v>303774</v>
      </c>
      <c r="C25">
        <v>33</v>
      </c>
      <c r="D25" t="s">
        <v>66</v>
      </c>
      <c r="E25" t="s">
        <v>33</v>
      </c>
      <c r="F25">
        <v>22.290984170000002</v>
      </c>
      <c r="G25">
        <v>22.290984170000002</v>
      </c>
      <c r="H25">
        <v>0</v>
      </c>
      <c r="I25">
        <v>5.6636677779999998</v>
      </c>
      <c r="J25">
        <v>5.6636677783538376</v>
      </c>
      <c r="K25">
        <v>3.5383784791065409E-10</v>
      </c>
      <c r="L25">
        <v>11.46377219</v>
      </c>
      <c r="M25">
        <v>15.04464053061732</v>
      </c>
      <c r="N25">
        <v>0</v>
      </c>
      <c r="O25">
        <v>0</v>
      </c>
      <c r="P25">
        <v>230.78630219999999</v>
      </c>
      <c r="Q25">
        <v>243.3548409</v>
      </c>
    </row>
    <row r="26" spans="1:17" x14ac:dyDescent="0.3">
      <c r="A26">
        <v>34</v>
      </c>
      <c r="B26">
        <v>303777</v>
      </c>
      <c r="C26">
        <v>35</v>
      </c>
      <c r="D26" t="s">
        <v>68</v>
      </c>
      <c r="E26" t="s">
        <v>33</v>
      </c>
      <c r="F26">
        <v>33.436476259999999</v>
      </c>
      <c r="G26">
        <v>66.872952519999998</v>
      </c>
      <c r="H26">
        <v>33.436476259999999</v>
      </c>
      <c r="I26">
        <v>5.9955016680000002</v>
      </c>
      <c r="J26">
        <v>6.9910033353592418</v>
      </c>
      <c r="K26">
        <v>0.99550166735924162</v>
      </c>
      <c r="L26">
        <v>11.46377219</v>
      </c>
      <c r="M26">
        <v>15.04464053061732</v>
      </c>
      <c r="N26">
        <v>0</v>
      </c>
      <c r="O26">
        <v>0</v>
      </c>
      <c r="P26">
        <v>223.07718070000001</v>
      </c>
      <c r="Q26">
        <v>75.084002889999994</v>
      </c>
    </row>
    <row r="27" spans="1:17" x14ac:dyDescent="0.3">
      <c r="A27">
        <v>35</v>
      </c>
      <c r="B27">
        <v>303778</v>
      </c>
      <c r="C27">
        <v>36</v>
      </c>
      <c r="D27" t="s">
        <v>69</v>
      </c>
      <c r="E27" t="s">
        <v>33</v>
      </c>
      <c r="F27">
        <v>60.504098300000003</v>
      </c>
      <c r="G27">
        <v>60.504098300000003</v>
      </c>
      <c r="H27">
        <v>0</v>
      </c>
      <c r="I27">
        <v>6.8013839220000003</v>
      </c>
      <c r="J27">
        <v>6.8013839224786086</v>
      </c>
      <c r="K27">
        <v>4.7860915231012768E-10</v>
      </c>
      <c r="L27">
        <v>11.46377219</v>
      </c>
      <c r="M27">
        <v>15.04464053061732</v>
      </c>
      <c r="N27">
        <v>0</v>
      </c>
      <c r="O27">
        <v>0</v>
      </c>
      <c r="P27">
        <v>254.2590155</v>
      </c>
      <c r="Q27">
        <v>223.07718070000001</v>
      </c>
    </row>
    <row r="28" spans="1:17" x14ac:dyDescent="0.3">
      <c r="A28">
        <v>36</v>
      </c>
      <c r="B28">
        <v>303779</v>
      </c>
      <c r="C28">
        <v>37</v>
      </c>
      <c r="D28" t="s">
        <v>70</v>
      </c>
      <c r="E28" t="s">
        <v>33</v>
      </c>
      <c r="F28">
        <v>14.329918080000001</v>
      </c>
      <c r="G28">
        <v>14.329918080000001</v>
      </c>
      <c r="H28">
        <v>0</v>
      </c>
      <c r="I28">
        <v>5.4266435619999998</v>
      </c>
      <c r="J28">
        <v>5.4266435624204243</v>
      </c>
      <c r="K28">
        <v>4.2042458403557248E-10</v>
      </c>
      <c r="L28">
        <v>11.46377219</v>
      </c>
      <c r="M28">
        <v>15.04464053061732</v>
      </c>
      <c r="N28">
        <v>0</v>
      </c>
      <c r="O28">
        <v>0</v>
      </c>
      <c r="P28">
        <v>298.30958809999998</v>
      </c>
      <c r="Q28">
        <v>254.2590155</v>
      </c>
    </row>
    <row r="29" spans="1:17" x14ac:dyDescent="0.3">
      <c r="A29">
        <v>37</v>
      </c>
      <c r="B29">
        <v>303780</v>
      </c>
      <c r="C29">
        <v>38</v>
      </c>
      <c r="D29" t="s">
        <v>71</v>
      </c>
      <c r="E29" t="s">
        <v>33</v>
      </c>
      <c r="F29">
        <v>17.51434407</v>
      </c>
      <c r="G29">
        <v>17.51434407</v>
      </c>
      <c r="H29">
        <v>0</v>
      </c>
      <c r="I29">
        <v>5.5214532360000002</v>
      </c>
      <c r="J29">
        <v>5.5214532355150654</v>
      </c>
      <c r="K29">
        <v>-4.8493475901523198E-10</v>
      </c>
      <c r="L29">
        <v>11.46377219</v>
      </c>
      <c r="M29">
        <v>15.04464053061732</v>
      </c>
      <c r="N29">
        <v>0</v>
      </c>
      <c r="O29">
        <v>0</v>
      </c>
      <c r="P29">
        <v>201.88374619999999</v>
      </c>
      <c r="Q29">
        <v>298.30958809999998</v>
      </c>
    </row>
    <row r="30" spans="1:17" x14ac:dyDescent="0.3">
      <c r="A30">
        <v>39</v>
      </c>
      <c r="B30">
        <v>303782</v>
      </c>
      <c r="C30">
        <v>40</v>
      </c>
      <c r="D30" t="s">
        <v>73</v>
      </c>
      <c r="E30" t="s">
        <v>33</v>
      </c>
      <c r="F30">
        <v>15.922132189999999</v>
      </c>
      <c r="G30">
        <v>38.213116360999997</v>
      </c>
      <c r="H30">
        <v>22.290984171000002</v>
      </c>
      <c r="I30">
        <v>5.474048432</v>
      </c>
      <c r="J30">
        <v>6.1377162105481657</v>
      </c>
      <c r="K30">
        <v>0.66366777854816572</v>
      </c>
      <c r="L30">
        <v>11.46377219</v>
      </c>
      <c r="M30">
        <v>15.04464053061732</v>
      </c>
      <c r="N30">
        <v>0</v>
      </c>
      <c r="O30">
        <v>0</v>
      </c>
      <c r="P30">
        <v>172.8332297</v>
      </c>
      <c r="Q30">
        <v>126.6576531</v>
      </c>
    </row>
    <row r="31" spans="1:17" x14ac:dyDescent="0.3">
      <c r="A31">
        <v>41</v>
      </c>
      <c r="B31">
        <v>303784</v>
      </c>
      <c r="C31">
        <v>42</v>
      </c>
      <c r="D31" t="s">
        <v>75</v>
      </c>
      <c r="E31" t="s">
        <v>33</v>
      </c>
      <c r="F31">
        <v>11.145492089999999</v>
      </c>
      <c r="G31">
        <v>11.145492089999999</v>
      </c>
      <c r="H31">
        <v>0</v>
      </c>
      <c r="I31">
        <v>5.3318338890000003</v>
      </c>
      <c r="J31">
        <v>5.3318338893257833</v>
      </c>
      <c r="K31">
        <v>3.2578295616758618E-10</v>
      </c>
      <c r="L31">
        <v>11.46377219</v>
      </c>
      <c r="M31">
        <v>15.04464053061732</v>
      </c>
      <c r="N31">
        <v>0</v>
      </c>
      <c r="O31">
        <v>0</v>
      </c>
      <c r="P31">
        <v>196.18537620000001</v>
      </c>
      <c r="Q31">
        <v>192.82176469999999</v>
      </c>
    </row>
    <row r="32" spans="1:17" x14ac:dyDescent="0.3">
      <c r="A32">
        <v>43</v>
      </c>
      <c r="B32">
        <v>303786</v>
      </c>
      <c r="C32">
        <v>44</v>
      </c>
      <c r="D32" t="s">
        <v>77</v>
      </c>
      <c r="E32" t="s">
        <v>33</v>
      </c>
      <c r="F32">
        <v>28.65983615</v>
      </c>
      <c r="G32">
        <v>46.174180219999997</v>
      </c>
      <c r="H32">
        <v>17.51434407</v>
      </c>
      <c r="I32">
        <v>5.8532871249999996</v>
      </c>
      <c r="J32">
        <v>6.3747403600581842</v>
      </c>
      <c r="K32">
        <v>0.52145323505818464</v>
      </c>
      <c r="L32">
        <v>11.46377219</v>
      </c>
      <c r="M32">
        <v>15.04464053061732</v>
      </c>
      <c r="N32">
        <v>0</v>
      </c>
      <c r="O32">
        <v>0</v>
      </c>
      <c r="P32">
        <v>241.02116820000001</v>
      </c>
      <c r="Q32">
        <v>67.327436629999994</v>
      </c>
    </row>
    <row r="33" spans="1:17" x14ac:dyDescent="0.3">
      <c r="A33">
        <v>44</v>
      </c>
      <c r="B33">
        <v>303787</v>
      </c>
      <c r="C33">
        <v>45</v>
      </c>
      <c r="D33" t="s">
        <v>78</v>
      </c>
      <c r="E33" t="s">
        <v>33</v>
      </c>
      <c r="F33">
        <v>20.698770060000001</v>
      </c>
      <c r="G33">
        <v>20.698770060000001</v>
      </c>
      <c r="H33">
        <v>0</v>
      </c>
      <c r="I33">
        <v>5.6162629089999996</v>
      </c>
      <c r="J33">
        <v>5.6162629086097056</v>
      </c>
      <c r="K33">
        <v>-3.9029313114724568E-10</v>
      </c>
      <c r="L33">
        <v>11.46377219</v>
      </c>
      <c r="M33">
        <v>15.04464053061732</v>
      </c>
      <c r="N33">
        <v>0</v>
      </c>
      <c r="O33">
        <v>0</v>
      </c>
      <c r="P33">
        <v>233.93429130000001</v>
      </c>
      <c r="Q33">
        <v>241.02116820000001</v>
      </c>
    </row>
    <row r="34" spans="1:17" x14ac:dyDescent="0.3">
      <c r="A34">
        <v>45</v>
      </c>
      <c r="B34">
        <v>303788</v>
      </c>
      <c r="C34">
        <v>46</v>
      </c>
      <c r="D34" t="s">
        <v>79</v>
      </c>
      <c r="E34" t="s">
        <v>33</v>
      </c>
      <c r="F34">
        <v>265.8995893</v>
      </c>
      <c r="G34">
        <v>272.26844128099998</v>
      </c>
      <c r="H34">
        <v>6.3688519809999784</v>
      </c>
      <c r="I34">
        <v>12.916608269999999</v>
      </c>
      <c r="J34">
        <v>13.106227619326489</v>
      </c>
      <c r="K34">
        <v>0.18961934932648819</v>
      </c>
      <c r="L34">
        <v>11.46377219</v>
      </c>
      <c r="M34">
        <v>15.04464053061732</v>
      </c>
      <c r="N34">
        <v>0</v>
      </c>
      <c r="O34">
        <v>0</v>
      </c>
      <c r="P34">
        <v>200.0693042</v>
      </c>
      <c r="Q34">
        <v>233.93429130000001</v>
      </c>
    </row>
    <row r="35" spans="1:17" x14ac:dyDescent="0.3">
      <c r="A35">
        <v>47</v>
      </c>
      <c r="B35">
        <v>901744</v>
      </c>
      <c r="C35">
        <v>48</v>
      </c>
      <c r="D35" t="s">
        <v>81</v>
      </c>
      <c r="E35" t="s">
        <v>33</v>
      </c>
      <c r="F35">
        <v>66.872950279999998</v>
      </c>
      <c r="G35">
        <v>66.872950279999998</v>
      </c>
      <c r="H35">
        <v>0</v>
      </c>
      <c r="I35">
        <v>6.9910032690000001</v>
      </c>
      <c r="J35">
        <v>6.9910032686678916</v>
      </c>
      <c r="K35">
        <v>-3.3210856287269048E-10</v>
      </c>
      <c r="L35">
        <v>11.46377219</v>
      </c>
      <c r="M35">
        <v>15.04464053061732</v>
      </c>
      <c r="N35">
        <v>0</v>
      </c>
      <c r="O35">
        <v>0</v>
      </c>
      <c r="P35">
        <v>336.83169800000002</v>
      </c>
      <c r="Q35">
        <v>275.70325550000001</v>
      </c>
    </row>
    <row r="36" spans="1:17" x14ac:dyDescent="0.3">
      <c r="A36">
        <v>49</v>
      </c>
      <c r="B36">
        <v>901735</v>
      </c>
      <c r="C36">
        <v>50</v>
      </c>
      <c r="D36" t="s">
        <v>83</v>
      </c>
      <c r="E36" t="s">
        <v>33</v>
      </c>
      <c r="F36">
        <v>345.51024569999998</v>
      </c>
      <c r="G36">
        <v>356.65573778999999</v>
      </c>
      <c r="H36">
        <v>11.145492089999999</v>
      </c>
      <c r="I36">
        <v>15.286850299999999</v>
      </c>
      <c r="J36">
        <v>15.61868418778919</v>
      </c>
      <c r="K36">
        <v>0.33183388778918582</v>
      </c>
      <c r="L36">
        <v>11.46377219</v>
      </c>
      <c r="M36">
        <v>15.04464053061732</v>
      </c>
      <c r="N36">
        <v>0</v>
      </c>
      <c r="O36">
        <v>0</v>
      </c>
      <c r="P36">
        <v>0</v>
      </c>
      <c r="Q36">
        <v>313.87599449999999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"/>
  <sheetViews>
    <sheetView workbookViewId="0"/>
  </sheetViews>
  <sheetFormatPr defaultRowHeight="14.4" x14ac:dyDescent="0.3"/>
  <sheetData>
    <row r="1" spans="1:17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 x14ac:dyDescent="0.3">
      <c r="A2">
        <v>6</v>
      </c>
      <c r="B2">
        <v>305172</v>
      </c>
      <c r="C2">
        <v>7</v>
      </c>
      <c r="D2" t="s">
        <v>39</v>
      </c>
      <c r="E2" t="s">
        <v>40</v>
      </c>
      <c r="F2">
        <v>22.290984170000002</v>
      </c>
      <c r="G2">
        <v>0</v>
      </c>
      <c r="H2">
        <v>-22.290984170000002</v>
      </c>
      <c r="I2">
        <v>5.6636677779999998</v>
      </c>
      <c r="J2">
        <v>5</v>
      </c>
      <c r="K2">
        <v>-0.66366777799999976</v>
      </c>
      <c r="L2">
        <v>11.46377219</v>
      </c>
      <c r="M2">
        <v>0</v>
      </c>
      <c r="N2">
        <v>16.940562963549969</v>
      </c>
      <c r="O2">
        <v>127.675591</v>
      </c>
      <c r="P2">
        <v>200.17870389999999</v>
      </c>
      <c r="Q2">
        <v>127.675591</v>
      </c>
    </row>
    <row r="3" spans="1:17" x14ac:dyDescent="0.3">
      <c r="A3">
        <v>9</v>
      </c>
      <c r="B3">
        <v>305175</v>
      </c>
      <c r="C3">
        <v>10</v>
      </c>
      <c r="D3" t="s">
        <v>43</v>
      </c>
      <c r="E3" t="s">
        <v>40</v>
      </c>
      <c r="F3">
        <v>6.3688519809999997</v>
      </c>
      <c r="G3">
        <v>0</v>
      </c>
      <c r="H3">
        <v>-6.3688519809999997</v>
      </c>
      <c r="I3">
        <v>5.1896193459999997</v>
      </c>
      <c r="J3">
        <v>5</v>
      </c>
      <c r="K3">
        <v>-0.18961934599999969</v>
      </c>
      <c r="L3">
        <v>11.46377219</v>
      </c>
      <c r="M3">
        <v>0</v>
      </c>
      <c r="N3">
        <v>5.3468113805579716</v>
      </c>
      <c r="O3">
        <v>141.04022430000001</v>
      </c>
      <c r="P3">
        <v>293.6197477</v>
      </c>
      <c r="Q3">
        <v>141.04022430000001</v>
      </c>
    </row>
    <row r="4" spans="1:17" x14ac:dyDescent="0.3">
      <c r="A4">
        <v>15</v>
      </c>
      <c r="B4">
        <v>305305</v>
      </c>
      <c r="C4">
        <v>16</v>
      </c>
      <c r="D4" t="s">
        <v>49</v>
      </c>
      <c r="E4" t="s">
        <v>40</v>
      </c>
      <c r="F4">
        <v>14.329918080000001</v>
      </c>
      <c r="G4">
        <v>0</v>
      </c>
      <c r="H4">
        <v>-14.329918080000001</v>
      </c>
      <c r="I4">
        <v>5.4266435619999998</v>
      </c>
      <c r="J4">
        <v>5</v>
      </c>
      <c r="K4">
        <v>-0.42664356199999981</v>
      </c>
      <c r="L4">
        <v>11.46377219</v>
      </c>
      <c r="M4">
        <v>0</v>
      </c>
      <c r="N4">
        <v>13.383689407440841</v>
      </c>
      <c r="O4">
        <v>156.9066765</v>
      </c>
      <c r="P4">
        <v>167.4246067</v>
      </c>
      <c r="Q4">
        <v>156.9066765</v>
      </c>
    </row>
    <row r="5" spans="1:17" x14ac:dyDescent="0.3">
      <c r="A5">
        <v>17</v>
      </c>
      <c r="B5">
        <v>305308</v>
      </c>
      <c r="C5">
        <v>18</v>
      </c>
      <c r="D5" t="s">
        <v>51</v>
      </c>
      <c r="E5" t="s">
        <v>40</v>
      </c>
      <c r="F5">
        <v>7.9610660959999997</v>
      </c>
      <c r="G5">
        <v>0</v>
      </c>
      <c r="H5">
        <v>-7.9610660959999997</v>
      </c>
      <c r="I5">
        <v>5.237024216</v>
      </c>
      <c r="J5">
        <v>5</v>
      </c>
      <c r="K5">
        <v>-0.23702421600000001</v>
      </c>
      <c r="L5">
        <v>11.46377219</v>
      </c>
      <c r="M5">
        <v>0</v>
      </c>
      <c r="N5">
        <v>11.55172300559194</v>
      </c>
      <c r="O5">
        <v>243.77256030000001</v>
      </c>
      <c r="P5">
        <v>243.77256030000001</v>
      </c>
      <c r="Q5">
        <v>318.3476824</v>
      </c>
    </row>
    <row r="6" spans="1:17" x14ac:dyDescent="0.3">
      <c r="A6">
        <v>19</v>
      </c>
      <c r="B6">
        <v>305311</v>
      </c>
      <c r="C6">
        <v>20</v>
      </c>
      <c r="D6" t="s">
        <v>53</v>
      </c>
      <c r="E6" t="s">
        <v>40</v>
      </c>
      <c r="F6">
        <v>11.145492089999999</v>
      </c>
      <c r="G6">
        <v>0</v>
      </c>
      <c r="H6">
        <v>-11.145492089999999</v>
      </c>
      <c r="I6">
        <v>5.3318338890000003</v>
      </c>
      <c r="J6">
        <v>5</v>
      </c>
      <c r="K6">
        <v>-0.33183388900000033</v>
      </c>
      <c r="L6">
        <v>11.46377219</v>
      </c>
      <c r="M6">
        <v>0</v>
      </c>
      <c r="N6">
        <v>15.71577171625529</v>
      </c>
      <c r="O6">
        <v>236.8894641</v>
      </c>
      <c r="P6">
        <v>236.8894641</v>
      </c>
      <c r="Q6">
        <v>239.9416665</v>
      </c>
    </row>
    <row r="7" spans="1:17" x14ac:dyDescent="0.3">
      <c r="A7">
        <v>22</v>
      </c>
      <c r="B7">
        <v>303762</v>
      </c>
      <c r="C7">
        <v>23</v>
      </c>
      <c r="D7" t="s">
        <v>56</v>
      </c>
      <c r="E7" t="s">
        <v>40</v>
      </c>
      <c r="F7">
        <v>6.3688519809999997</v>
      </c>
      <c r="G7">
        <v>0</v>
      </c>
      <c r="H7">
        <v>-6.3688519809999997</v>
      </c>
      <c r="I7">
        <v>5.1896193459999997</v>
      </c>
      <c r="J7">
        <v>5</v>
      </c>
      <c r="K7">
        <v>-0.18961934599999969</v>
      </c>
      <c r="L7">
        <v>11.46377219</v>
      </c>
      <c r="M7">
        <v>0</v>
      </c>
      <c r="N7">
        <v>4.3780118540912287</v>
      </c>
      <c r="O7">
        <v>115.4848619</v>
      </c>
      <c r="P7">
        <v>115.4848619</v>
      </c>
      <c r="Q7">
        <v>269.94417729999998</v>
      </c>
    </row>
    <row r="8" spans="1:17" x14ac:dyDescent="0.3">
      <c r="A8">
        <v>24</v>
      </c>
      <c r="B8">
        <v>303764</v>
      </c>
      <c r="C8">
        <v>25</v>
      </c>
      <c r="D8" t="s">
        <v>58</v>
      </c>
      <c r="E8" t="s">
        <v>40</v>
      </c>
      <c r="F8">
        <v>19.10655818</v>
      </c>
      <c r="G8">
        <v>0</v>
      </c>
      <c r="H8">
        <v>-19.10655818</v>
      </c>
      <c r="I8">
        <v>5.5688581050000003</v>
      </c>
      <c r="J8">
        <v>5</v>
      </c>
      <c r="K8">
        <v>-0.56885810500000034</v>
      </c>
      <c r="L8">
        <v>11.46377219</v>
      </c>
      <c r="M8">
        <v>0</v>
      </c>
      <c r="N8">
        <v>19.028851193742572</v>
      </c>
      <c r="O8">
        <v>167.31673860000001</v>
      </c>
      <c r="P8">
        <v>167.31673860000001</v>
      </c>
      <c r="Q8">
        <v>210.20142899999999</v>
      </c>
    </row>
    <row r="9" spans="1:17" x14ac:dyDescent="0.3">
      <c r="A9">
        <v>26</v>
      </c>
      <c r="B9">
        <v>303766</v>
      </c>
      <c r="C9">
        <v>27</v>
      </c>
      <c r="D9" t="s">
        <v>60</v>
      </c>
      <c r="E9" t="s">
        <v>40</v>
      </c>
      <c r="F9">
        <v>14.329918080000001</v>
      </c>
      <c r="G9">
        <v>0</v>
      </c>
      <c r="H9">
        <v>-14.329918080000001</v>
      </c>
      <c r="I9">
        <v>5.4266435619999998</v>
      </c>
      <c r="J9">
        <v>5</v>
      </c>
      <c r="K9">
        <v>-0.42664356199999981</v>
      </c>
      <c r="L9">
        <v>11.46377219</v>
      </c>
      <c r="M9">
        <v>0</v>
      </c>
      <c r="N9">
        <v>14.14360189252651</v>
      </c>
      <c r="O9">
        <v>165.81568050000001</v>
      </c>
      <c r="P9">
        <v>201.56913689999999</v>
      </c>
      <c r="Q9">
        <v>165.81568050000001</v>
      </c>
    </row>
    <row r="10" spans="1:17" x14ac:dyDescent="0.3">
      <c r="A10">
        <v>29</v>
      </c>
      <c r="B10">
        <v>303770</v>
      </c>
      <c r="C10">
        <v>30</v>
      </c>
      <c r="D10" t="s">
        <v>63</v>
      </c>
      <c r="E10" t="s">
        <v>40</v>
      </c>
      <c r="F10">
        <v>12.737703959999999</v>
      </c>
      <c r="G10">
        <v>0</v>
      </c>
      <c r="H10">
        <v>-12.737703959999999</v>
      </c>
      <c r="I10">
        <v>5.3792386920000004</v>
      </c>
      <c r="J10">
        <v>5</v>
      </c>
      <c r="K10">
        <v>-0.37923869200000038</v>
      </c>
      <c r="L10">
        <v>11.46377219</v>
      </c>
      <c r="M10">
        <v>0</v>
      </c>
      <c r="N10">
        <v>13.05566013793003</v>
      </c>
      <c r="O10">
        <v>172.19358449999999</v>
      </c>
      <c r="P10">
        <v>234.88187379999999</v>
      </c>
      <c r="Q10">
        <v>172.19358449999999</v>
      </c>
    </row>
    <row r="11" spans="1:17" x14ac:dyDescent="0.3">
      <c r="A11">
        <v>33</v>
      </c>
      <c r="B11">
        <v>303776</v>
      </c>
      <c r="C11">
        <v>34</v>
      </c>
      <c r="D11" t="s">
        <v>67</v>
      </c>
      <c r="E11" t="s">
        <v>40</v>
      </c>
      <c r="F11">
        <v>33.436476259999999</v>
      </c>
      <c r="G11">
        <v>0</v>
      </c>
      <c r="H11">
        <v>-33.436476259999999</v>
      </c>
      <c r="I11">
        <v>5.9955016680000002</v>
      </c>
      <c r="J11">
        <v>5</v>
      </c>
      <c r="K11">
        <v>-0.99550166800000017</v>
      </c>
      <c r="L11">
        <v>11.46377219</v>
      </c>
      <c r="M11">
        <v>0</v>
      </c>
      <c r="N11">
        <v>14.943717143674141</v>
      </c>
      <c r="O11">
        <v>75.084002889999994</v>
      </c>
      <c r="P11">
        <v>75.084002889999994</v>
      </c>
      <c r="Q11">
        <v>230.78630219999999</v>
      </c>
    </row>
    <row r="12" spans="1:17" x14ac:dyDescent="0.3">
      <c r="A12">
        <v>38</v>
      </c>
      <c r="B12">
        <v>303781</v>
      </c>
      <c r="C12">
        <v>39</v>
      </c>
      <c r="D12" t="s">
        <v>72</v>
      </c>
      <c r="E12" t="s">
        <v>40</v>
      </c>
      <c r="F12">
        <v>19.10655818</v>
      </c>
      <c r="G12">
        <v>0</v>
      </c>
      <c r="H12">
        <v>-19.10655818</v>
      </c>
      <c r="I12">
        <v>5.5688581050000003</v>
      </c>
      <c r="J12">
        <v>5</v>
      </c>
      <c r="K12">
        <v>-0.56885810500000034</v>
      </c>
      <c r="L12">
        <v>11.46377219</v>
      </c>
      <c r="M12">
        <v>0</v>
      </c>
      <c r="N12">
        <v>14.40471320177028</v>
      </c>
      <c r="O12">
        <v>126.6576531</v>
      </c>
      <c r="P12">
        <v>126.6576531</v>
      </c>
      <c r="Q12">
        <v>201.88374619999999</v>
      </c>
    </row>
    <row r="13" spans="1:17" x14ac:dyDescent="0.3">
      <c r="A13">
        <v>40</v>
      </c>
      <c r="B13">
        <v>303783</v>
      </c>
      <c r="C13">
        <v>41</v>
      </c>
      <c r="D13" t="s">
        <v>74</v>
      </c>
      <c r="E13" t="s">
        <v>40</v>
      </c>
      <c r="F13">
        <v>3.1844259909999999</v>
      </c>
      <c r="G13">
        <v>0</v>
      </c>
      <c r="H13">
        <v>-3.1844259909999999</v>
      </c>
      <c r="I13">
        <v>5.0948096730000003</v>
      </c>
      <c r="J13">
        <v>5</v>
      </c>
      <c r="K13">
        <v>-9.4809673000000316E-2</v>
      </c>
      <c r="L13">
        <v>11.46377219</v>
      </c>
      <c r="M13">
        <v>0</v>
      </c>
      <c r="N13">
        <v>3.2760394569354361</v>
      </c>
      <c r="O13">
        <v>172.8332297</v>
      </c>
      <c r="P13">
        <v>192.82176469999999</v>
      </c>
      <c r="Q13">
        <v>172.8332297</v>
      </c>
    </row>
    <row r="14" spans="1:17" x14ac:dyDescent="0.3">
      <c r="A14">
        <v>42</v>
      </c>
      <c r="B14">
        <v>303785</v>
      </c>
      <c r="C14">
        <v>43</v>
      </c>
      <c r="D14" t="s">
        <v>76</v>
      </c>
      <c r="E14" t="s">
        <v>40</v>
      </c>
      <c r="F14">
        <v>17.51434407</v>
      </c>
      <c r="G14">
        <v>0</v>
      </c>
      <c r="H14">
        <v>-17.51434407</v>
      </c>
      <c r="I14">
        <v>5.5214532360000002</v>
      </c>
      <c r="J14">
        <v>5</v>
      </c>
      <c r="K14">
        <v>-0.52145323600000015</v>
      </c>
      <c r="L14">
        <v>11.46377219</v>
      </c>
      <c r="M14">
        <v>0</v>
      </c>
      <c r="N14">
        <v>7.0190231576722697</v>
      </c>
      <c r="O14">
        <v>67.327436629999994</v>
      </c>
      <c r="P14">
        <v>67.327436629999994</v>
      </c>
      <c r="Q14">
        <v>196.18537620000001</v>
      </c>
    </row>
    <row r="15" spans="1:17" x14ac:dyDescent="0.3">
      <c r="A15">
        <v>46</v>
      </c>
      <c r="B15">
        <v>303789</v>
      </c>
      <c r="C15">
        <v>47</v>
      </c>
      <c r="D15" t="s">
        <v>80</v>
      </c>
      <c r="E15" t="s">
        <v>40</v>
      </c>
      <c r="F15">
        <v>6.3688519809999997</v>
      </c>
      <c r="G15">
        <v>0</v>
      </c>
      <c r="H15">
        <v>-6.3688519809999997</v>
      </c>
      <c r="I15">
        <v>5.1896193459999997</v>
      </c>
      <c r="J15">
        <v>5</v>
      </c>
      <c r="K15">
        <v>-0.18961934599999969</v>
      </c>
      <c r="L15">
        <v>11.46377219</v>
      </c>
      <c r="M15">
        <v>0</v>
      </c>
      <c r="N15">
        <v>7.5845939547110817</v>
      </c>
      <c r="O15">
        <v>200.0693042</v>
      </c>
      <c r="P15">
        <v>275.70325550000001</v>
      </c>
      <c r="Q15">
        <v>200.0693042</v>
      </c>
    </row>
    <row r="16" spans="1:17" x14ac:dyDescent="0.3">
      <c r="A16">
        <v>48</v>
      </c>
      <c r="B16">
        <v>303791</v>
      </c>
      <c r="C16">
        <v>49</v>
      </c>
      <c r="D16" t="s">
        <v>82</v>
      </c>
      <c r="E16" t="s">
        <v>40</v>
      </c>
      <c r="F16">
        <v>11.145492089999999</v>
      </c>
      <c r="G16">
        <v>0</v>
      </c>
      <c r="H16">
        <v>-11.145492089999999</v>
      </c>
      <c r="I16">
        <v>5.3318338890000003</v>
      </c>
      <c r="J16">
        <v>5</v>
      </c>
      <c r="K16">
        <v>-0.33183388900000033</v>
      </c>
      <c r="L16">
        <v>11.46377219</v>
      </c>
      <c r="M16">
        <v>0</v>
      </c>
      <c r="N16">
        <v>20.823228654408531</v>
      </c>
      <c r="O16">
        <v>313.87599449999999</v>
      </c>
      <c r="P16">
        <v>313.87599449999999</v>
      </c>
      <c r="Q16">
        <v>336.83169800000002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"/>
  <sheetViews>
    <sheetView workbookViewId="0"/>
  </sheetViews>
  <sheetFormatPr defaultRowHeight="14.4" x14ac:dyDescent="0.3"/>
  <sheetData>
    <row r="1" spans="1:17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 x14ac:dyDescent="0.3">
      <c r="A2">
        <v>25</v>
      </c>
      <c r="B2">
        <v>303765</v>
      </c>
      <c r="C2">
        <v>26</v>
      </c>
      <c r="D2" t="s">
        <v>59</v>
      </c>
      <c r="E2" t="s">
        <v>33</v>
      </c>
      <c r="F2">
        <v>17.51434407</v>
      </c>
      <c r="G2">
        <v>50.950820329999999</v>
      </c>
      <c r="H2">
        <v>33.436476259999999</v>
      </c>
      <c r="I2">
        <v>5.5214532360000002</v>
      </c>
      <c r="J2">
        <v>6.5169549031946863</v>
      </c>
      <c r="K2">
        <v>0.99550166719468614</v>
      </c>
      <c r="L2">
        <v>11.46377219</v>
      </c>
      <c r="M2">
        <v>15.04464053061732</v>
      </c>
      <c r="N2">
        <v>0</v>
      </c>
      <c r="O2">
        <v>0</v>
      </c>
      <c r="P2">
        <v>165.81568050000001</v>
      </c>
      <c r="Q2">
        <v>167.31673860000001</v>
      </c>
    </row>
    <row r="3" spans="1:17" x14ac:dyDescent="0.3">
      <c r="A3">
        <v>34</v>
      </c>
      <c r="B3">
        <v>303777</v>
      </c>
      <c r="C3">
        <v>35</v>
      </c>
      <c r="D3" t="s">
        <v>68</v>
      </c>
      <c r="E3" t="s">
        <v>33</v>
      </c>
      <c r="F3">
        <v>33.436476259999999</v>
      </c>
      <c r="G3">
        <v>66.872952519999998</v>
      </c>
      <c r="H3">
        <v>33.436476259999999</v>
      </c>
      <c r="I3">
        <v>5.9955016680000002</v>
      </c>
      <c r="J3">
        <v>6.9910033353592418</v>
      </c>
      <c r="K3">
        <v>0.99550166735924162</v>
      </c>
      <c r="L3">
        <v>11.46377219</v>
      </c>
      <c r="M3">
        <v>15.04464053061732</v>
      </c>
      <c r="N3">
        <v>0</v>
      </c>
      <c r="O3">
        <v>0</v>
      </c>
      <c r="P3">
        <v>223.07718070000001</v>
      </c>
      <c r="Q3">
        <v>75.084002889999994</v>
      </c>
    </row>
    <row r="4" spans="1:17" x14ac:dyDescent="0.3">
      <c r="A4">
        <v>39</v>
      </c>
      <c r="B4">
        <v>303782</v>
      </c>
      <c r="C4">
        <v>40</v>
      </c>
      <c r="D4" t="s">
        <v>73</v>
      </c>
      <c r="E4" t="s">
        <v>33</v>
      </c>
      <c r="F4">
        <v>15.922132189999999</v>
      </c>
      <c r="G4">
        <v>38.213116360999997</v>
      </c>
      <c r="H4">
        <v>22.290984171000002</v>
      </c>
      <c r="I4">
        <v>5.474048432</v>
      </c>
      <c r="J4">
        <v>6.1377162105481657</v>
      </c>
      <c r="K4">
        <v>0.66366777854816572</v>
      </c>
      <c r="L4">
        <v>11.46377219</v>
      </c>
      <c r="M4">
        <v>15.04464053061732</v>
      </c>
      <c r="N4">
        <v>0</v>
      </c>
      <c r="O4">
        <v>0</v>
      </c>
      <c r="P4">
        <v>172.8332297</v>
      </c>
      <c r="Q4">
        <v>126.6576531</v>
      </c>
    </row>
    <row r="5" spans="1:17" x14ac:dyDescent="0.3">
      <c r="A5">
        <v>5</v>
      </c>
      <c r="B5">
        <v>305171</v>
      </c>
      <c r="C5">
        <v>6</v>
      </c>
      <c r="D5" t="s">
        <v>38</v>
      </c>
      <c r="E5" t="s">
        <v>33</v>
      </c>
      <c r="F5">
        <v>42.989754230000003</v>
      </c>
      <c r="G5">
        <v>65.280738400000004</v>
      </c>
      <c r="H5">
        <v>22.290984170000002</v>
      </c>
      <c r="I5">
        <v>6.2799306870000002</v>
      </c>
      <c r="J5">
        <v>6.9435984653173817</v>
      </c>
      <c r="K5">
        <v>0.66366777831738144</v>
      </c>
      <c r="L5">
        <v>11.46377219</v>
      </c>
      <c r="M5">
        <v>15.04464053061732</v>
      </c>
      <c r="N5">
        <v>0</v>
      </c>
      <c r="O5">
        <v>0</v>
      </c>
      <c r="P5">
        <v>127.675591</v>
      </c>
      <c r="Q5">
        <v>238.89143050000001</v>
      </c>
    </row>
    <row r="6" spans="1:17" x14ac:dyDescent="0.3">
      <c r="A6">
        <v>43</v>
      </c>
      <c r="B6">
        <v>303786</v>
      </c>
      <c r="C6">
        <v>44</v>
      </c>
      <c r="D6" t="s">
        <v>77</v>
      </c>
      <c r="E6" t="s">
        <v>33</v>
      </c>
      <c r="F6">
        <v>28.65983615</v>
      </c>
      <c r="G6">
        <v>46.174180219999997</v>
      </c>
      <c r="H6">
        <v>17.51434407</v>
      </c>
      <c r="I6">
        <v>5.8532871249999996</v>
      </c>
      <c r="J6">
        <v>6.3747403600581842</v>
      </c>
      <c r="K6">
        <v>0.52145323505818464</v>
      </c>
      <c r="L6">
        <v>11.46377219</v>
      </c>
      <c r="M6">
        <v>15.04464053061732</v>
      </c>
      <c r="N6">
        <v>0</v>
      </c>
      <c r="O6">
        <v>0</v>
      </c>
      <c r="P6">
        <v>241.02116820000001</v>
      </c>
      <c r="Q6">
        <v>67.327436629999994</v>
      </c>
    </row>
    <row r="7" spans="1:17" x14ac:dyDescent="0.3">
      <c r="A7">
        <v>14</v>
      </c>
      <c r="B7">
        <v>305304</v>
      </c>
      <c r="C7">
        <v>15</v>
      </c>
      <c r="D7" t="s">
        <v>48</v>
      </c>
      <c r="E7" t="s">
        <v>33</v>
      </c>
      <c r="F7">
        <v>184.6967209</v>
      </c>
      <c r="G7">
        <v>199.02663898</v>
      </c>
      <c r="H7">
        <v>14.329918080000001</v>
      </c>
      <c r="I7">
        <v>10.49896144</v>
      </c>
      <c r="J7">
        <v>10.92560500324862</v>
      </c>
      <c r="K7">
        <v>0.4266435632486214</v>
      </c>
      <c r="L7">
        <v>11.46377219</v>
      </c>
      <c r="M7">
        <v>15.04464053061732</v>
      </c>
      <c r="N7">
        <v>0</v>
      </c>
      <c r="O7">
        <v>0</v>
      </c>
      <c r="P7">
        <v>156.9066765</v>
      </c>
      <c r="Q7">
        <v>242.41991340000001</v>
      </c>
    </row>
    <row r="8" spans="1:17" x14ac:dyDescent="0.3">
      <c r="A8">
        <v>28</v>
      </c>
      <c r="B8">
        <v>303769</v>
      </c>
      <c r="C8">
        <v>29</v>
      </c>
      <c r="D8" t="s">
        <v>62</v>
      </c>
      <c r="E8" t="s">
        <v>33</v>
      </c>
      <c r="F8">
        <v>25.475410159999999</v>
      </c>
      <c r="G8">
        <v>38.21311412</v>
      </c>
      <c r="H8">
        <v>12.737703959999999</v>
      </c>
      <c r="I8">
        <v>5.7584774510000001</v>
      </c>
      <c r="J8">
        <v>6.1377161438270429</v>
      </c>
      <c r="K8">
        <v>0.37923869282704281</v>
      </c>
      <c r="L8">
        <v>11.46377219</v>
      </c>
      <c r="M8">
        <v>15.04464053061732</v>
      </c>
      <c r="N8">
        <v>0</v>
      </c>
      <c r="O8">
        <v>0</v>
      </c>
      <c r="P8">
        <v>172.19358449999999</v>
      </c>
      <c r="Q8">
        <v>208.70128869999999</v>
      </c>
    </row>
    <row r="9" spans="1:17" x14ac:dyDescent="0.3">
      <c r="A9">
        <v>49</v>
      </c>
      <c r="B9">
        <v>901735</v>
      </c>
      <c r="C9">
        <v>50</v>
      </c>
      <c r="D9" t="s">
        <v>83</v>
      </c>
      <c r="E9" t="s">
        <v>33</v>
      </c>
      <c r="F9">
        <v>345.51024569999998</v>
      </c>
      <c r="G9">
        <v>356.65573778999999</v>
      </c>
      <c r="H9">
        <v>11.145492089999999</v>
      </c>
      <c r="I9">
        <v>15.286850299999999</v>
      </c>
      <c r="J9">
        <v>15.61868418778919</v>
      </c>
      <c r="K9">
        <v>0.33183388778918582</v>
      </c>
      <c r="L9">
        <v>11.46377219</v>
      </c>
      <c r="M9">
        <v>15.04464053061732</v>
      </c>
      <c r="N9">
        <v>0</v>
      </c>
      <c r="O9">
        <v>0</v>
      </c>
      <c r="P9">
        <v>0</v>
      </c>
      <c r="Q9">
        <v>313.87599449999999</v>
      </c>
    </row>
    <row r="10" spans="1:17" x14ac:dyDescent="0.3">
      <c r="A10">
        <v>20</v>
      </c>
      <c r="B10">
        <v>305312</v>
      </c>
      <c r="C10">
        <v>21</v>
      </c>
      <c r="D10" t="s">
        <v>54</v>
      </c>
      <c r="E10" t="s">
        <v>33</v>
      </c>
      <c r="F10">
        <v>39.805328240000001</v>
      </c>
      <c r="G10">
        <v>50.950820329999999</v>
      </c>
      <c r="H10">
        <v>11.145492089999999</v>
      </c>
      <c r="I10">
        <v>6.1851210139999999</v>
      </c>
      <c r="J10">
        <v>6.5169549031946863</v>
      </c>
      <c r="K10">
        <v>0.33183388919468643</v>
      </c>
      <c r="L10">
        <v>11.46377219</v>
      </c>
      <c r="M10">
        <v>15.04464053061732</v>
      </c>
      <c r="N10">
        <v>0</v>
      </c>
      <c r="O10">
        <v>0</v>
      </c>
      <c r="P10">
        <v>221.00104440000001</v>
      </c>
      <c r="Q10">
        <v>236.8894641</v>
      </c>
    </row>
    <row r="11" spans="1:17" x14ac:dyDescent="0.3">
      <c r="A11">
        <v>18</v>
      </c>
      <c r="B11">
        <v>305310</v>
      </c>
      <c r="C11">
        <v>19</v>
      </c>
      <c r="D11" t="s">
        <v>52</v>
      </c>
      <c r="E11" t="s">
        <v>33</v>
      </c>
      <c r="F11">
        <v>15.922132189999999</v>
      </c>
      <c r="G11">
        <v>23.883198285999999</v>
      </c>
      <c r="H11">
        <v>7.9610660959999997</v>
      </c>
      <c r="I11">
        <v>5.474048432</v>
      </c>
      <c r="J11">
        <v>5.7110726482766054</v>
      </c>
      <c r="K11">
        <v>0.23702421627660539</v>
      </c>
      <c r="L11">
        <v>11.46377219</v>
      </c>
      <c r="M11">
        <v>15.04464053061732</v>
      </c>
      <c r="N11">
        <v>0</v>
      </c>
      <c r="O11">
        <v>0</v>
      </c>
      <c r="P11">
        <v>239.9416665</v>
      </c>
      <c r="Q11">
        <v>243.77256030000001</v>
      </c>
    </row>
    <row r="12" spans="1:17" x14ac:dyDescent="0.3">
      <c r="A12">
        <v>8</v>
      </c>
      <c r="B12">
        <v>305174</v>
      </c>
      <c r="C12">
        <v>9</v>
      </c>
      <c r="D12" t="s">
        <v>42</v>
      </c>
      <c r="E12" t="s">
        <v>33</v>
      </c>
      <c r="F12">
        <v>11.145492089999999</v>
      </c>
      <c r="G12">
        <v>17.514344071</v>
      </c>
      <c r="H12">
        <v>6.3688519810000006</v>
      </c>
      <c r="I12">
        <v>5.3318338890000003</v>
      </c>
      <c r="J12">
        <v>5.5214532355448389</v>
      </c>
      <c r="K12">
        <v>0.18961934654483861</v>
      </c>
      <c r="L12">
        <v>11.46377219</v>
      </c>
      <c r="M12">
        <v>15.04464053061732</v>
      </c>
      <c r="N12">
        <v>0</v>
      </c>
      <c r="O12">
        <v>0</v>
      </c>
      <c r="P12">
        <v>141.04022430000001</v>
      </c>
      <c r="Q12">
        <v>200.661136</v>
      </c>
    </row>
    <row r="13" spans="1:17" x14ac:dyDescent="0.3">
      <c r="A13">
        <v>23</v>
      </c>
      <c r="B13">
        <v>308067</v>
      </c>
      <c r="C13">
        <v>24</v>
      </c>
      <c r="D13" t="s">
        <v>57</v>
      </c>
      <c r="E13" t="s">
        <v>33</v>
      </c>
      <c r="F13">
        <v>9.5532779720000001</v>
      </c>
      <c r="G13">
        <v>15.922129953000001</v>
      </c>
      <c r="H13">
        <v>6.3688519809999988</v>
      </c>
      <c r="I13">
        <v>5.2844290190000001</v>
      </c>
      <c r="J13">
        <v>5.4740483655625241</v>
      </c>
      <c r="K13">
        <v>0.18961934656252399</v>
      </c>
      <c r="L13">
        <v>11.46377219</v>
      </c>
      <c r="M13">
        <v>15.04464053061732</v>
      </c>
      <c r="N13">
        <v>0</v>
      </c>
      <c r="O13">
        <v>0</v>
      </c>
      <c r="P13">
        <v>210.20142899999999</v>
      </c>
      <c r="Q13">
        <v>115.4848619</v>
      </c>
    </row>
    <row r="14" spans="1:17" x14ac:dyDescent="0.3">
      <c r="A14">
        <v>45</v>
      </c>
      <c r="B14">
        <v>303788</v>
      </c>
      <c r="C14">
        <v>46</v>
      </c>
      <c r="D14" t="s">
        <v>79</v>
      </c>
      <c r="E14" t="s">
        <v>33</v>
      </c>
      <c r="F14">
        <v>265.8995893</v>
      </c>
      <c r="G14">
        <v>272.26844128099998</v>
      </c>
      <c r="H14">
        <v>6.3688519809999784</v>
      </c>
      <c r="I14">
        <v>12.916608269999999</v>
      </c>
      <c r="J14">
        <v>13.106227619326489</v>
      </c>
      <c r="K14">
        <v>0.18961934932648819</v>
      </c>
      <c r="L14">
        <v>11.46377219</v>
      </c>
      <c r="M14">
        <v>15.04464053061732</v>
      </c>
      <c r="N14">
        <v>0</v>
      </c>
      <c r="O14">
        <v>0</v>
      </c>
      <c r="P14">
        <v>200.0693042</v>
      </c>
      <c r="Q14">
        <v>233.93429130000001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4.4" x14ac:dyDescent="0.3"/>
  <sheetData>
    <row r="1" spans="1:7" x14ac:dyDescent="0.3">
      <c r="A1" s="1" t="s">
        <v>15</v>
      </c>
      <c r="B1" s="1" t="s">
        <v>16</v>
      </c>
      <c r="C1" s="1" t="s">
        <v>18</v>
      </c>
      <c r="D1" s="1" t="s">
        <v>20</v>
      </c>
      <c r="E1" s="1" t="s">
        <v>29</v>
      </c>
      <c r="F1" s="1" t="s">
        <v>28</v>
      </c>
      <c r="G1" s="1" t="s">
        <v>84</v>
      </c>
    </row>
    <row r="2" spans="1:7" x14ac:dyDescent="0.3">
      <c r="A2">
        <v>6</v>
      </c>
      <c r="B2">
        <v>305172</v>
      </c>
      <c r="C2" t="s">
        <v>39</v>
      </c>
      <c r="D2">
        <v>22.290984170000002</v>
      </c>
      <c r="E2">
        <v>127.675591</v>
      </c>
      <c r="F2">
        <v>16.940562963549969</v>
      </c>
      <c r="G2">
        <v>6183.3054816957383</v>
      </c>
    </row>
    <row r="3" spans="1:7" x14ac:dyDescent="0.3">
      <c r="A3">
        <v>9</v>
      </c>
      <c r="B3">
        <v>305175</v>
      </c>
      <c r="C3" t="s">
        <v>43</v>
      </c>
      <c r="D3">
        <v>6.3688519809999997</v>
      </c>
      <c r="E3">
        <v>141.04022430000001</v>
      </c>
      <c r="F3">
        <v>5.3468113805579716</v>
      </c>
      <c r="G3">
        <v>1951.58615390366</v>
      </c>
    </row>
    <row r="4" spans="1:7" x14ac:dyDescent="0.3">
      <c r="A4">
        <v>15</v>
      </c>
      <c r="B4">
        <v>305305</v>
      </c>
      <c r="C4" t="s">
        <v>49</v>
      </c>
      <c r="D4">
        <v>14.329918080000001</v>
      </c>
      <c r="E4">
        <v>156.9066765</v>
      </c>
      <c r="F4">
        <v>13.383689407440841</v>
      </c>
      <c r="G4">
        <v>4885.0466337159069</v>
      </c>
    </row>
    <row r="5" spans="1:7" x14ac:dyDescent="0.3">
      <c r="A5">
        <v>17</v>
      </c>
      <c r="B5">
        <v>305308</v>
      </c>
      <c r="C5" t="s">
        <v>51</v>
      </c>
      <c r="D5">
        <v>7.9610660959999997</v>
      </c>
      <c r="E5">
        <v>243.77256030000001</v>
      </c>
      <c r="F5">
        <v>11.55172300559194</v>
      </c>
      <c r="G5">
        <v>4216.3788970410578</v>
      </c>
    </row>
    <row r="6" spans="1:7" x14ac:dyDescent="0.3">
      <c r="A6">
        <v>19</v>
      </c>
      <c r="B6">
        <v>305311</v>
      </c>
      <c r="C6" t="s">
        <v>53</v>
      </c>
      <c r="D6">
        <v>11.145492089999999</v>
      </c>
      <c r="E6">
        <v>236.8894641</v>
      </c>
      <c r="F6">
        <v>15.71577171625529</v>
      </c>
      <c r="G6">
        <v>5736.2566764331814</v>
      </c>
    </row>
    <row r="7" spans="1:7" x14ac:dyDescent="0.3">
      <c r="A7">
        <v>22</v>
      </c>
      <c r="B7">
        <v>303762</v>
      </c>
      <c r="C7" t="s">
        <v>56</v>
      </c>
      <c r="D7">
        <v>6.3688519809999997</v>
      </c>
      <c r="E7">
        <v>115.4848619</v>
      </c>
      <c r="F7">
        <v>4.3780118540912287</v>
      </c>
      <c r="G7">
        <v>1597.974326743298</v>
      </c>
    </row>
    <row r="8" spans="1:7" x14ac:dyDescent="0.3">
      <c r="A8">
        <v>24</v>
      </c>
      <c r="B8">
        <v>303764</v>
      </c>
      <c r="C8" t="s">
        <v>58</v>
      </c>
      <c r="D8">
        <v>19.10655818</v>
      </c>
      <c r="E8">
        <v>167.31673860000001</v>
      </c>
      <c r="F8">
        <v>19.028851193742572</v>
      </c>
      <c r="G8">
        <v>6945.5306857160394</v>
      </c>
    </row>
    <row r="9" spans="1:7" x14ac:dyDescent="0.3">
      <c r="A9">
        <v>26</v>
      </c>
      <c r="B9">
        <v>303766</v>
      </c>
      <c r="C9" t="s">
        <v>60</v>
      </c>
      <c r="D9">
        <v>14.329918080000001</v>
      </c>
      <c r="E9">
        <v>165.81568050000001</v>
      </c>
      <c r="F9">
        <v>14.14360189252651</v>
      </c>
      <c r="G9">
        <v>5162.4146907721761</v>
      </c>
    </row>
    <row r="10" spans="1:7" x14ac:dyDescent="0.3">
      <c r="A10">
        <v>29</v>
      </c>
      <c r="B10">
        <v>303770</v>
      </c>
      <c r="C10" t="s">
        <v>63</v>
      </c>
      <c r="D10">
        <v>12.737703959999999</v>
      </c>
      <c r="E10">
        <v>172.19358449999999</v>
      </c>
      <c r="F10">
        <v>13.05566013793003</v>
      </c>
      <c r="G10">
        <v>4765.3159503444604</v>
      </c>
    </row>
    <row r="11" spans="1:7" x14ac:dyDescent="0.3">
      <c r="A11">
        <v>33</v>
      </c>
      <c r="B11">
        <v>303776</v>
      </c>
      <c r="C11" t="s">
        <v>67</v>
      </c>
      <c r="D11">
        <v>33.436476259999999</v>
      </c>
      <c r="E11">
        <v>75.084002889999994</v>
      </c>
      <c r="F11">
        <v>14.943717143674141</v>
      </c>
      <c r="G11">
        <v>5454.456757441063</v>
      </c>
    </row>
    <row r="12" spans="1:7" x14ac:dyDescent="0.3">
      <c r="A12">
        <v>38</v>
      </c>
      <c r="B12">
        <v>303781</v>
      </c>
      <c r="C12" t="s">
        <v>72</v>
      </c>
      <c r="D12">
        <v>19.10655818</v>
      </c>
      <c r="E12">
        <v>126.6576531</v>
      </c>
      <c r="F12">
        <v>14.40471320177028</v>
      </c>
      <c r="G12">
        <v>5257.7203186461538</v>
      </c>
    </row>
    <row r="13" spans="1:7" x14ac:dyDescent="0.3">
      <c r="A13">
        <v>40</v>
      </c>
      <c r="B13">
        <v>303783</v>
      </c>
      <c r="C13" t="s">
        <v>74</v>
      </c>
      <c r="D13">
        <v>3.1844259909999999</v>
      </c>
      <c r="E13">
        <v>172.8332297</v>
      </c>
      <c r="F13">
        <v>3.2760394569354361</v>
      </c>
      <c r="G13">
        <v>1195.7544017814339</v>
      </c>
    </row>
    <row r="14" spans="1:7" x14ac:dyDescent="0.3">
      <c r="A14">
        <v>42</v>
      </c>
      <c r="B14">
        <v>303785</v>
      </c>
      <c r="C14" t="s">
        <v>76</v>
      </c>
      <c r="D14">
        <v>17.51434407</v>
      </c>
      <c r="E14">
        <v>67.327436629999994</v>
      </c>
      <c r="F14">
        <v>7.0190231576722697</v>
      </c>
      <c r="G14">
        <v>2561.943452550378</v>
      </c>
    </row>
    <row r="15" spans="1:7" x14ac:dyDescent="0.3">
      <c r="A15">
        <v>46</v>
      </c>
      <c r="B15">
        <v>303789</v>
      </c>
      <c r="C15" t="s">
        <v>80</v>
      </c>
      <c r="D15">
        <v>6.3688519809999997</v>
      </c>
      <c r="E15">
        <v>200.0693042</v>
      </c>
      <c r="F15">
        <v>7.5845939547110817</v>
      </c>
      <c r="G15">
        <v>2768.3767934695452</v>
      </c>
    </row>
    <row r="16" spans="1:7" x14ac:dyDescent="0.3">
      <c r="A16">
        <v>48</v>
      </c>
      <c r="B16">
        <v>303791</v>
      </c>
      <c r="C16" t="s">
        <v>82</v>
      </c>
      <c r="D16">
        <v>11.145492089999999</v>
      </c>
      <c r="E16">
        <v>313.87599449999999</v>
      </c>
      <c r="F16">
        <v>20.823228654408531</v>
      </c>
      <c r="G16">
        <v>7600.4784588591137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Summary_Statistics</vt:lpstr>
      <vt:lpstr>All_Stops</vt:lpstr>
      <vt:lpstr>Open_Stops</vt:lpstr>
      <vt:lpstr>Closed_Stops</vt:lpstr>
      <vt:lpstr>Stops_Gained_Ridership</vt:lpstr>
      <vt:lpstr>Walk_Cost_Details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Mruthunjay Mani</cp:lastModifiedBy>
  <dcterms:created xsi:type="dcterms:W3CDTF">2025-12-10T20:26:05Z</dcterms:created>
  <dcterms:modified xsi:type="dcterms:W3CDTF">2025-12-13T21:12:18Z</dcterms:modified>
</cp:coreProperties>
</file>